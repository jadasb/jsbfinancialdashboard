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Weekly Dashboard" sheetId="2" state="visible" r:id="rId4"/>
    <sheet name="Dashboard" sheetId="3" state="visible" r:id="rId5"/>
    <sheet name="Setup" sheetId="4" state="visible" r:id="rId6"/>
    <sheet name="Ledger" sheetId="5" state="visible" r:id="rId7"/>
    <sheet name="Contributions" sheetId="6" state="visible" r:id="rId8"/>
    <sheet name="Weekly 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<sst xmlns="http://schemas.openxmlformats.org/spreadsheetml/2006/main" count="175" uniqueCount="133">
  <si>
    <t xml:space="preserve">Paper-Trading Tracker  |  started 8 Oct 2026</t>
  </si>
  <si>
    <t xml:space="preserve">Mock-invest the plan until the real start in January 2027. All figures are hypothetical.</t>
  </si>
  <si>
    <t xml:space="preserve">HOW TO USE</t>
  </si>
  <si>
    <t xml:space="preserve">1. Weekly Log sheet: enter the baseline prices in the yellow cells of row 2 (what each fund cost on 8 Oct 2026, from the Sarwa app or a quote source). Each week, add a new row with the date and closing prices.</t>
  </si>
  <si>
    <t xml:space="preserve">2. Ledger sheet: the first four mock buys (8 Oct 2026) are pre-loaded. Enter your fill price in the yellow cells. Fill prices are what you would have paid, not today's price on a later day.</t>
  </si>
  <si>
    <t xml:space="preserve">3. Each payday (1st of the month): add four new rows to the Ledger and one row to the Contributions sheet. Current prices on Setup update automatically from the latest Weekly Log row.</t>
  </si>
  <si>
    <t xml:space="preserve">4. Weekly Dashboard sheet: the weekly review view (core, ballast, satellite, trend, news). Dashboard sheet: detailed positions, drift and the payday buy planner.</t>
  </si>
  <si>
    <t xml:space="preserve">COLOUR LEGEND</t>
  </si>
  <si>
    <t xml:space="preserve">Blue text = an input you or the plan set.   Yellow fill = a cell you must fill in.   Black text = formula, do not overwrite. Weekly Log rows must be contiguous (no gaps).</t>
  </si>
  <si>
    <t xml:space="preserve">EXAMPLE ENTRY (format only)</t>
  </si>
  <si>
    <t xml:space="preserve">Weekly Log row: Date 2026-10-15 | VOO 150.00 | SGOV 100.60 | ITA 158.00 | NLR 98.00 | CEG 270.00 | CCJ 85.00 (format only; not real prices).</t>
  </si>
  <si>
    <t xml:space="preserve">ASSUMPTIONS (change them on the Setup sheet)</t>
  </si>
  <si>
    <t xml:space="preserve">- AED/USD peg 3.6725. Monthly contribution 4,000 AED (your plan). Fee rule: greater of $1 or 0.25% per trade, as reported for Sarwa Trade; verify in the app.</t>
  </si>
  <si>
    <t xml:space="preserve">- Instruments are paper-trade picks to start the experiment, not recommendations: VOO (S&amp;P 500), SGOV (short-term Treasury bills), ITA (US aerospace and defense), NLR (uranium and nuclear).</t>
  </si>
  <si>
    <t xml:space="preserve">- Allocation: 2,600 / 500 / 450 / 450 AED (65% / 12.5% / 11.25% / 11.25%). The 900 AED left after core and ballast is split evenly across defense and nuclear: an assumption to confirm. The wildcard sleeve is parked at 0% until you name a pick.</t>
  </si>
  <si>
    <t xml:space="preserve">- Fractional units are assumed to be possible. Confirm what Sarwa allows.</t>
  </si>
  <si>
    <t xml:space="preserve">- Reference price only: NLR closed about $102.74 on 2 Oct 2026 (source: trade-ideas.com). It is not a fill price for 8 Oct.</t>
  </si>
  <si>
    <t xml:space="preserve">- Dividends, withholding tax, and FX moves on the AED peg are not modelled.</t>
  </si>
  <si>
    <t xml:space="preserve">- The benchmark pays one $1-minimum fee per contribution; the portfolio pays one per sleeve. That difference is a real cost of splitting small buys.</t>
  </si>
  <si>
    <t xml:space="preserve">TIP</t>
  </si>
  <si>
    <t xml:space="preserve">In Google Sheets you can replace a price input with a live formula such as =GOOGLEFINANCE("NYSEARCA:NLR") (check that each ticker resolves). Excel alternative: the Stocks data type.</t>
  </si>
  <si>
    <t xml:space="preserve">This workbook is a stopgap. The Vercel dashboard from the brief will automate prices and add return and drawdown analytics.</t>
  </si>
  <si>
    <t xml:space="preserve">Weekly Dashboard</t>
  </si>
  <si>
    <t xml:space="preserve">Company</t>
  </si>
  <si>
    <t xml:space="preserve">Code</t>
  </si>
  <si>
    <t xml:space="preserve">This week %</t>
  </si>
  <si>
    <t xml:space="preserve">$ invested to date</t>
  </si>
  <si>
    <t xml:space="preserve">Since first investment % (price)</t>
  </si>
  <si>
    <t xml:space="preserve">Overall P/L %</t>
  </si>
  <si>
    <t xml:space="preserve">Overall P/L $</t>
  </si>
  <si>
    <t xml:space="preserve">Trend (last 4 weeks)</t>
  </si>
  <si>
    <t xml:space="preserve">Vanguard S&amp;P 500 ETF</t>
  </si>
  <si>
    <t xml:space="preserve">VOO</t>
  </si>
  <si>
    <t xml:space="preserve">iShares 0-3 Month Treasury Bond ETF</t>
  </si>
  <si>
    <t xml:space="preserve">SGOV</t>
  </si>
  <si>
    <t xml:space="preserve">iShares U.S. Aerospace &amp; Defense ETF</t>
  </si>
  <si>
    <t xml:space="preserve">ITA</t>
  </si>
  <si>
    <t xml:space="preserve">VanEck Uranium and Nuclear ETF</t>
  </si>
  <si>
    <t xml:space="preserve">NLR</t>
  </si>
  <si>
    <t xml:space="preserve">COMPARISONS  |  paper only, no money assigned (learning experiment)</t>
  </si>
  <si>
    <t xml:space="preserve">Constellation Energy (an NLR top holding)</t>
  </si>
  <si>
    <t xml:space="preserve">CEG</t>
  </si>
  <si>
    <t xml:space="preserve">n/a</t>
  </si>
  <si>
    <t xml:space="preserve">Cameco (an NLR top holding)</t>
  </si>
  <si>
    <t xml:space="preserve">CCJ</t>
  </si>
  <si>
    <t xml:space="preserve">TOTAL PORTFOLIO</t>
  </si>
  <si>
    <t xml:space="preserve">Benchmark: same contributions, 100% VOO</t>
  </si>
  <si>
    <t xml:space="preserve">Portfolio minus benchmark (points)</t>
  </si>
  <si>
    <t xml:space="preserve">Overall P/L % uses your cost basis including fees. 'Since first investment %' is price change only, from the baseline row in the Weekly Log.</t>
  </si>
  <si>
    <t xml:space="preserve">THIS WEEK'S NEWS  |  as of 8 Oct 2026  |  rewrite each week</t>
  </si>
  <si>
    <t xml:space="preserve">Holding</t>
  </si>
  <si>
    <t xml:space="preserve">What is happening, and why it may matter</t>
  </si>
  <si>
    <t xml:space="preserve">S&amp;P 500 (core)</t>
  </si>
  <si>
    <t xml:space="preserve">S&amp;P 500 closed 7,722.72 on 2 Oct, about 1% below its August record; Nasdaq up about 17% for the year. The pressure point is the US 10-year yield near 5.28%, the highest since 2007. Breadth is weak and the AI buildout is propping up the index. VOO is 100% US large caps with roughly 38% in its top ten holdings, so it moves directly with this. Q3 earnings season starts around 12 Oct.</t>
  </si>
  <si>
    <t xml:space="preserve">Short-term Treasuries (ballast)</t>
  </si>
  <si>
    <t xml:space="preserve">The Fed returned to rate hikes in September, so T-bill yields are high: good income, very little price risk. A shift toward cuts would lower the income, not the price. No fund-specific news.</t>
  </si>
  <si>
    <t xml:space="preserve">US aerospace and defense (satellite)</t>
  </si>
  <si>
    <t xml:space="preserve">The administration is asking Congress for a $1.5 trillion FY2027 defense budget (about 50%+ above current), including $20 billion for Golden Dome and $65 billion for a Navy shipbuilding plan. Lawmakers from both parties are questioning the size and the legal basis for Iran operations; the ceasefire is described as fragile and the conflict's cost estimate rose from $25 billion to $29 billion. Budget approval is not guaranteed, and a durable peace could shrink the fear premium.</t>
  </si>
  <si>
    <t xml:space="preserve">Uranium and nuclear (satellite)</t>
  </si>
  <si>
    <t xml:space="preserve">Uranium hit a 19-year price record (above $96/lb) yet nuclear stocks keep falling: NLR is down about 16% year-to-date, Uranium Energy about 20%. Reporting points to utilities not yet signing contracts at the higher price, possible US tariffs on uranium, a longer Q3 shutdown at Cameco's Key Lake mill, weak sentiment toward commodity stocks, and investors demanding proof after the AI-nuclear hype.</t>
  </si>
  <si>
    <t xml:space="preserve">Constellation Energy (comparison)</t>
  </si>
  <si>
    <t xml:space="preserve">No verified news for this week. Background: 2026 adjusted operating earnings guidance of $11 to $12 per share, over 5,650 MW of long-term clean-energy agreements including data-centre deals, investment-grade rating after the Calpine acquisition. Stock has been volatile. Check the next quarterly update.</t>
  </si>
  <si>
    <t xml:space="preserve">Cameco (comparison)</t>
  </si>
  <si>
    <t xml:space="preserve">Closed $85.18 on 2 Oct: down about 7% for 2026 and 11.6% over the past month. Valuation is stretched (trailing P/E about 149, forward about 52). Flagged risks: possible US uranium tariffs and the extended Key Lake shutdown. Next earnings reported for 30 Oct.</t>
  </si>
  <si>
    <t xml:space="preserve">Sources for this week's news: market wrap and uranium reports dated 2-3 Oct 2026, Pentagon budget hearing coverage, company guidance releases. Verify before acting.</t>
  </si>
  <si>
    <t xml:space="preserve">Paper Portfolio Dashboard</t>
  </si>
  <si>
    <t xml:space="preserve">Hypothetical. Gain/loss appears once fill prices and current prices are entered.</t>
  </si>
  <si>
    <t xml:space="preserve">Ticker</t>
  </si>
  <si>
    <t xml:space="preserve">Sleeve</t>
  </si>
  <si>
    <t xml:space="preserve">Target</t>
  </si>
  <si>
    <t xml:space="preserve">AED invested</t>
  </si>
  <si>
    <t xml:space="preserve">USD invested (incl. fees)</t>
  </si>
  <si>
    <t xml:space="preserve">Units</t>
  </si>
  <si>
    <t xml:space="preserve">Current price</t>
  </si>
  <si>
    <t xml:space="preserve">Market value (USD)</t>
  </si>
  <si>
    <t xml:space="preserve">Gain/loss (USD)</t>
  </si>
  <si>
    <t xml:space="preserve">Gain/loss %</t>
  </si>
  <si>
    <t xml:space="preserve">Weight</t>
  </si>
  <si>
    <t xml:space="preserve">Drift vs target</t>
  </si>
  <si>
    <t xml:space="preserve">Total</t>
  </si>
  <si>
    <t xml:space="preserve">Total gain/loss (AED)</t>
  </si>
  <si>
    <t xml:space="preserve">Fees paid to date (USD)</t>
  </si>
  <si>
    <t xml:space="preserve">Fee drag (% of USD invested)</t>
  </si>
  <si>
    <t xml:space="preserve">Units of VOO</t>
  </si>
  <si>
    <t xml:space="preserve">Your portfolio minus benchmark (pts)</t>
  </si>
  <si>
    <t xml:space="preserve">Positive = your mix is beating a plain S&amp;P 500 fund. Read it over months, not days.</t>
  </si>
  <si>
    <t xml:space="preserve">Next payday buy planner</t>
  </si>
  <si>
    <t xml:space="preserve">AED</t>
  </si>
  <si>
    <t xml:space="preserve">USD</t>
  </si>
  <si>
    <t xml:space="preserve">Est. fee (USD)</t>
  </si>
  <si>
    <t xml:space="preserve">Fee % of buy</t>
  </si>
  <si>
    <t xml:space="preserve">Setup</t>
  </si>
  <si>
    <t xml:space="preserve">AED/USD peg</t>
  </si>
  <si>
    <t xml:space="preserve">Fixed peg used in the plan.</t>
  </si>
  <si>
    <t xml:space="preserve">Monthly contribution (AED)</t>
  </si>
  <si>
    <t xml:space="preserve">From your plan.</t>
  </si>
  <si>
    <t xml:space="preserve">Fee minimum per trade (USD)</t>
  </si>
  <si>
    <t xml:space="preserve">Sarwa Trade reported fee: greater of $1 or 0.25%. Verify in the app.</t>
  </si>
  <si>
    <t xml:space="preserve">Fee rate</t>
  </si>
  <si>
    <t xml:space="preserve">As above.</t>
  </si>
  <si>
    <t xml:space="preserve">Target %</t>
  </si>
  <si>
    <t xml:space="preserve">Current price (USD) - auto from Weekly Log</t>
  </si>
  <si>
    <t xml:space="preserve">Latest log date</t>
  </si>
  <si>
    <t xml:space="preserve">Note</t>
  </si>
  <si>
    <t xml:space="preserve">US equity (S&amp;P 500)</t>
  </si>
  <si>
    <t xml:space="preserve">Paper pick. Alternatives: IVV or another S&amp;P 500 ETF. Verify availability and fees on Sarwa.</t>
  </si>
  <si>
    <t xml:space="preserve">Short-term Treasuries / TIPS</t>
  </si>
  <si>
    <t xml:space="preserve">Paper pick (T-bills). Alternative: a short-term TIPS fund.</t>
  </si>
  <si>
    <t xml:space="preserve">Defense / aerospace</t>
  </si>
  <si>
    <t xml:space="preserve">Paper pick (sector ETF). Single names can replace it later.</t>
  </si>
  <si>
    <t xml:space="preserve">Nuclear energy</t>
  </si>
  <si>
    <t xml:space="preserve">Reference only: closed about $102.74 on 2 Oct 2026 (trade-ideas.com). Enter your own price.</t>
  </si>
  <si>
    <t xml:space="preserve">Total target</t>
  </si>
  <si>
    <t xml:space="preserve">Wildcard sleeve: parked at 0% until you name a pick.</t>
  </si>
  <si>
    <t xml:space="preserve">Date</t>
  </si>
  <si>
    <t xml:space="preserve">AED allocated</t>
  </si>
  <si>
    <t xml:space="preserve">USD gross</t>
  </si>
  <si>
    <t xml:space="preserve">Fee (USD)</t>
  </si>
  <si>
    <t xml:space="preserve">Fill price (USD)</t>
  </si>
  <si>
    <t xml:space="preserve">Notes</t>
  </si>
  <si>
    <t xml:space="preserve">AED contributed</t>
  </si>
  <si>
    <t xml:space="preserve">VOO price that day (USD)</t>
  </si>
  <si>
    <t xml:space="preserve">Benchmark units (VOO only)</t>
  </si>
  <si>
    <t xml:space="preserve">Enter the VOO fill price for each contribution date. The benchmark assumes the whole contribution buys VOO in one trade.</t>
  </si>
  <si>
    <t xml:space="preserve">Date (week)</t>
  </si>
  <si>
    <t xml:space="preserve">VOO idx</t>
  </si>
  <si>
    <t xml:space="preserve">SGOV idx</t>
  </si>
  <si>
    <t xml:space="preserve">ITA idx</t>
  </si>
  <si>
    <t xml:space="preserve">NLR idx</t>
  </si>
  <si>
    <t xml:space="preserve">CEG idx</t>
  </si>
  <si>
    <t xml:space="preserve">CCJ idx</t>
  </si>
  <si>
    <t xml:space="preserve">One row per week, same weekday (for example Thursday close), no gaps. Row 2 is the baseline: the price on your first paper-investment date (8 Oct 2026).</t>
  </si>
  <si>
    <t xml:space="preserve">Idx columns rebase each price to 100 at the baseline so different-priced funds can be compared. CEG and CCJ are comparisons only: no money is assigned to them.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</si>
</sst>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%;[RED]\-0.0%;\-"/>
    <numFmt numFmtId="166" formatCode="\$#,##0.00"/>
    <numFmt numFmtId="167" formatCode="\$#,##0.00;[RED]&quot;-$&quot;#,##0.00;\-"/>
    <numFmt numFmtId="168" formatCode="0.0#%"/>
    <numFmt numFmtId="169" formatCode="#,##0"/>
    <numFmt numFmtId="170" formatCode="0.0000"/>
    <numFmt numFmtId="171" formatCode="\$#,##0.00;[RED]&quot;($&quot;#,##0.00\);\-"/>
    <numFmt numFmtId="172" formatCode="0.0%;[RED]\(0.0%\);\-"/>
    <numFmt numFmtId="173" formatCode="0.0%"/>
    <numFmt numFmtId="174" formatCode="#,##0;[RED]\(#,##0\);\-"/>
    <numFmt numFmtId="175" formatCode="0.00%"/>
    <numFmt numFmtId="176" formatCode="\$0.00"/>
    <numFmt numFmtId="177" formatCode="yyyy\-mm\-dd"/>
    <numFmt numFmtId="178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E8E8E8"/>
        <bgColor rgb="FFF2F2F2"/>
      </patternFill>
    </fill>
    <fill>
      <patternFill patternType="solid">
        <fgColor rgb="FFF2F2F2"/>
        <bgColor rgb="FFE8E8E8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BE4B48"/>
      <rgbColor rgb="FFF2F2F2"/>
      <rgbColor rgb="FFE8E8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5924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Indexed performance (baseline =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'Weekly Log'!I1</c:f>
              <c:strCache>
                <c:ptCount val="1"/>
                <c:pt idx="0">
                  <c:v>VOO idx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Log'!$A$2:$A$30</c:f>
              <c:strCache>
                <c:ptCount val="29"/>
                <c:pt idx="0">
                  <c:v>2026-10-08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</c:strCache>
            </c:strRef>
          </c:cat>
          <c:val>
            <c:numRef>
              <c:f>'Weekly Log'!$I$2:$I$30</c:f>
              <c:numCache>
                <c:formatCode>General</c:formatCode>
                <c:ptCount val="29"/>
              </c:numCache>
            </c:numRef>
          </c:val>
          <c:smooth val="1"/>
        </c:ser>
        <c:ser>
          <c:idx val="1"/>
          <c:order val="1"/>
          <c:tx>
            <c:strRef>
              <c:f>'Weekly Log'!J1</c:f>
              <c:strCache>
                <c:ptCount val="1"/>
                <c:pt idx="0">
                  <c:v>SGOV idx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Log'!$A$2:$A$30</c:f>
              <c:strCache>
                <c:ptCount val="29"/>
                <c:pt idx="0">
                  <c:v>2026-10-08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</c:strCache>
            </c:strRef>
          </c:cat>
          <c:val>
            <c:numRef>
              <c:f>'Weekly Log'!$J$2:$J$30</c:f>
              <c:numCache>
                <c:formatCode>General</c:formatCode>
                <c:ptCount val="29"/>
              </c:numCache>
            </c:numRef>
          </c:val>
          <c:smooth val="1"/>
        </c:ser>
        <c:ser>
          <c:idx val="2"/>
          <c:order val="2"/>
          <c:tx>
            <c:strRef>
              <c:f>'Weekly Log'!K1</c:f>
              <c:strCache>
                <c:ptCount val="1"/>
                <c:pt idx="0">
                  <c:v>ITA idx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Log'!$A$2:$A$30</c:f>
              <c:strCache>
                <c:ptCount val="29"/>
                <c:pt idx="0">
                  <c:v>2026-10-08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</c:strCache>
            </c:strRef>
          </c:cat>
          <c:val>
            <c:numRef>
              <c:f>'Weekly Log'!$K$2:$K$30</c:f>
              <c:numCache>
                <c:formatCode>General</c:formatCode>
                <c:ptCount val="29"/>
              </c:numCache>
            </c:numRef>
          </c:val>
          <c:smooth val="1"/>
        </c:ser>
        <c:ser>
          <c:idx val="3"/>
          <c:order val="3"/>
          <c:tx>
            <c:strRef>
              <c:f>'Weekly Log'!L1</c:f>
              <c:strCache>
                <c:ptCount val="1"/>
                <c:pt idx="0">
                  <c:v>NLR idx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Log'!$A$2:$A$30</c:f>
              <c:strCache>
                <c:ptCount val="29"/>
                <c:pt idx="0">
                  <c:v>2026-10-08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</c:strCache>
            </c:strRef>
          </c:cat>
          <c:val>
            <c:numRef>
              <c:f>'Weekly Log'!$L$2:$L$30</c:f>
              <c:numCache>
                <c:formatCode>General</c:formatCode>
                <c:ptCount val="29"/>
              </c:numCache>
            </c:numRef>
          </c:val>
          <c:smooth val="1"/>
        </c:ser>
        <c:ser>
          <c:idx val="4"/>
          <c:order val="4"/>
          <c:tx>
            <c:strRef>
              <c:f>'Weekly Log'!M1</c:f>
              <c:strCache>
                <c:ptCount val="1"/>
                <c:pt idx="0">
                  <c:v>CEG idx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Log'!$A$2:$A$30</c:f>
              <c:strCache>
                <c:ptCount val="29"/>
                <c:pt idx="0">
                  <c:v>2026-10-08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</c:strCache>
            </c:strRef>
          </c:cat>
          <c:val>
            <c:numRef>
              <c:f>'Weekly Log'!$M$2:$M$30</c:f>
              <c:numCache>
                <c:formatCode>General</c:formatCode>
                <c:ptCount val="29"/>
              </c:numCache>
            </c:numRef>
          </c:val>
          <c:smooth val="1"/>
        </c:ser>
        <c:ser>
          <c:idx val="5"/>
          <c:order val="5"/>
          <c:tx>
            <c:strRef>
              <c:f>'Weekly Log'!N1</c:f>
              <c:strCache>
                <c:ptCount val="1"/>
                <c:pt idx="0">
                  <c:v>CCJ idx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Log'!$A$2:$A$30</c:f>
              <c:strCache>
                <c:ptCount val="29"/>
                <c:pt idx="0">
                  <c:v>2026-10-08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</c:strCache>
            </c:strRef>
          </c:cat>
          <c:val>
            <c:numRef>
              <c:f>'Weekly Log'!$N$2:$N$30</c:f>
              <c:numCache>
                <c:formatCode>General</c:formatCode>
                <c:ptCount val="29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141124"/>
        <c:axId val="4639036"/>
      </c:lineChart>
      <c:catAx>
        <c:axId val="63141124"/>
        <c:scaling>
          <c:orientation val="minMax"/>
        </c:scaling>
        <c:delete val="0"/>
        <c:axPos val="b"/>
        <c:numFmt formatCode="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9036"/>
        <c:crosses val="autoZero"/>
        <c:auto val="1"/>
        <c:lblAlgn val="ctr"/>
        <c:lblOffset val="100"/>
        <c:noMultiLvlLbl val="0"/>
      </c:catAx>
      <c:valAx>
        <c:axId val="46390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411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130680</xdr:rowOff>
    </xdr:from>
    <xdr:to>
      <xdr:col>5</xdr:col>
      <xdr:colOff>1011960</xdr:colOff>
      <xdr:row>45</xdr:row>
      <xdr:rowOff>153000</xdr:rowOff>
    </xdr:to>
    <xdr:graphicFrame>
      <xdr:nvGraphicFramePr>
        <xdr:cNvPr id="0" name="Chart 1"/>
        <xdr:cNvGraphicFramePr/>
      </xdr:nvGraphicFramePr>
      <xdr:xfrm>
        <a:off x="0" y="1028700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23.85" hidden="false" customHeight="false" outlineLevel="0" collapsed="false">
      <c r="B6" s="3" t="s">
        <v>3</v>
      </c>
    </row>
    <row r="7" customFormat="false" ht="23.85" hidden="false" customHeight="false" outlineLevel="0" collapsed="false">
      <c r="B7" s="3" t="s">
        <v>4</v>
      </c>
    </row>
    <row r="8" customFormat="false" ht="23.85" hidden="false" customHeight="false" outlineLevel="0" collapsed="false">
      <c r="B8" s="3" t="s">
        <v>5</v>
      </c>
    </row>
    <row r="9" customFormat="false" ht="23.8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4" t="s">
        <v>7</v>
      </c>
    </row>
    <row r="12" customFormat="false" ht="23.8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3"/>
    </row>
    <row r="14" customFormat="false" ht="15" hidden="false" customHeight="false" outlineLevel="0" collapsed="false">
      <c r="B14" s="4" t="s">
        <v>9</v>
      </c>
    </row>
    <row r="15" customFormat="false" ht="23.8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3"/>
    </row>
    <row r="17" customFormat="false" ht="15" hidden="false" customHeight="false" outlineLevel="0" collapsed="false">
      <c r="B17" s="4" t="s">
        <v>11</v>
      </c>
    </row>
    <row r="18" customFormat="false" ht="23.85" hidden="false" customHeight="false" outlineLevel="0" collapsed="false">
      <c r="B18" s="3" t="s">
        <v>12</v>
      </c>
    </row>
    <row r="19" customFormat="false" ht="23.85" hidden="false" customHeight="false" outlineLevel="0" collapsed="false">
      <c r="B19" s="3" t="s">
        <v>13</v>
      </c>
    </row>
    <row r="20" customFormat="false" ht="23.85" hidden="false" customHeight="false" outlineLevel="0" collapsed="false">
      <c r="B20" s="3" t="s">
        <v>14</v>
      </c>
    </row>
    <row r="21" customFormat="false" ht="15" hidden="false" customHeight="false" outlineLevel="0" collapsed="false">
      <c r="B21" s="3" t="s">
        <v>15</v>
      </c>
    </row>
    <row r="22" customFormat="false" ht="15" hidden="false" customHeight="false" outlineLevel="0" collapsed="false">
      <c r="B22" s="3" t="s">
        <v>16</v>
      </c>
    </row>
    <row r="23" customFormat="false" ht="15" hidden="false" customHeight="false" outlineLevel="0" collapsed="false">
      <c r="B23" s="3" t="s">
        <v>17</v>
      </c>
    </row>
    <row r="24" customFormat="false" ht="23.85" hidden="false" customHeight="false" outlineLevel="0" collapsed="false">
      <c r="B24" s="3" t="s">
        <v>18</v>
      </c>
    </row>
    <row r="25" customFormat="false" ht="15" hidden="false" customHeight="false" outlineLevel="0" collapsed="false">
      <c r="B25" s="3"/>
    </row>
    <row r="26" customFormat="false" ht="15" hidden="false" customHeight="false" outlineLevel="0" collapsed="false">
      <c r="B26" s="4" t="s">
        <v>19</v>
      </c>
    </row>
    <row r="27" customFormat="false" ht="23.85" hidden="false" customHeight="false" outlineLevel="0" collapsed="false">
      <c r="B27" s="3" t="s">
        <v>20</v>
      </c>
    </row>
    <row r="28" customFormat="false" ht="15" hidden="false" customHeight="false" outlineLevel="0" collapsed="false">
      <c r="B28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22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22"/>
  </cols>
  <sheetData>
    <row r="1" customFormat="false" ht="19.7" hidden="false" customHeight="false" outlineLevel="0" collapsed="false">
      <c r="A1" s="5" t="s">
        <v>22</v>
      </c>
    </row>
    <row r="2" customFormat="false" ht="15" hidden="false" customHeight="false" outlineLevel="0" collapsed="false">
      <c r="A2" s="6" t="str">
        <f aca="false">"Latest weekly entry: "&amp;IF(COUNT('Weekly Log'!$A$2:$A$60)=0,"none yet",TEXT(INDEX('Weekly Log'!$A$2:$A$60,COUNT('Weekly Log'!$A$2:$A$60)),"d mmm yyyy"))&amp;"   |   Hypothetical paper portfolio"</f>
        <v>Latest weekly entry: 8 Oct 2026   |   Hypothetical paper portfolio</v>
      </c>
    </row>
    <row r="4" customFormat="false" ht="31.5" hidden="false" customHeight="true" outlineLevel="0" collapsed="false">
      <c r="A4" s="7" t="s">
        <v>23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  <c r="G4" s="7" t="s">
        <v>29</v>
      </c>
      <c r="H4" s="7" t="s">
        <v>30</v>
      </c>
    </row>
    <row r="5" customFormat="false" ht="15" hidden="false" customHeight="false" outlineLevel="0" collapsed="false">
      <c r="A5" s="8" t="str">
        <f aca="false">"CORE  |  target "&amp;TEXT(Setup!C9,"0.0#%")</f>
        <v>CORE  |  target 65.0%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0" collapsed="false">
      <c r="A6" s="9" t="s">
        <v>31</v>
      </c>
      <c r="B6" s="9" t="s">
        <v>32</v>
      </c>
      <c r="C6" s="10" t="str">
        <f aca="false">IF(COUNT('Weekly Log'!B$2:B$60)&lt;2,"",IFERROR(INDEX('Weekly Log'!B$2:B$60,COUNT('Weekly Log'!B$2:B$60))/INDEX('Weekly Log'!B$2:B$60,COUNT('Weekly Log'!B$2:B$60)-1)-1,""))</f>
        <v/>
      </c>
      <c r="D6" s="11" t="n">
        <f aca="false">Dashboard!E5</f>
        <v>707.964601769912</v>
      </c>
      <c r="E6" s="10" t="str">
        <f aca="false">IF(COUNT('Weekly Log'!B$2:B$60)&lt;2,"",IFERROR(INDEX('Weekly Log'!B$2:B$60,COUNT('Weekly Log'!B$2:B$60))/INDEX('Weekly Log'!B$2:B$60,1)-1,""))</f>
        <v/>
      </c>
      <c r="F6" s="10" t="str">
        <f aca="false">Dashboard!J5</f>
        <v/>
      </c>
      <c r="G6" s="12" t="str">
        <f aca="false">Dashboard!I5</f>
        <v/>
      </c>
      <c r="H6" s="13" t="str">
        <f aca="false">IF(COUNT('Weekly Log'!B$2:B$60)&lt;2,"",IF(COUNT('Weekly Log'!B$2:B$60)&gt;=4,IF(INDEX('Weekly Log'!B$2:B$60,COUNT('Weekly Log'!B$2:B$60)-2)&gt;INDEX('Weekly Log'!B$2:B$60,COUNT('Weekly Log'!B$2:B$60)-3),"▲",IF(INDEX('Weekly Log'!B$2:B$60,COUNT('Weekly Log'!B$2:B$60)-2)&lt;INDEX('Weekly Log'!B$2:B$60,COUNT('Weekly Log'!B$2:B$60)-3),"▼","▬"))&amp;" ","")&amp;IF(COUNT('Weekly Log'!B$2:B$60)&gt;=3,IF(INDEX('Weekly Log'!B$2:B$60,COUNT('Weekly Log'!B$2:B$60)-1)&gt;INDEX('Weekly Log'!B$2:B$60,COUNT('Weekly Log'!B$2:B$60)-2),"▲",IF(INDEX('Weekly Log'!B$2:B$60,COUNT('Weekly Log'!B$2:B$60)-1)&lt;INDEX('Weekly Log'!B$2:B$60,COUNT('Weekly Log'!B$2:B$60)-2),"▼","▬"))&amp;" ","")&amp;IF(INDEX('Weekly Log'!B$2:B$60,COUNT('Weekly Log'!B$2:B$60))&gt;INDEX('Weekly Log'!B$2:B$60,COUNT('Weekly Log'!B$2:B$60)-1),"▲",IF(INDEX('Weekly Log'!B$2:B$60,COUNT('Weekly Log'!B$2:B$60))&lt;INDEX('Weekly Log'!B$2:B$60,COUNT('Weekly Log'!B$2:B$60)-1),"▼","▬")))</f>
        <v/>
      </c>
    </row>
    <row r="7" customFormat="false" ht="15" hidden="false" customHeight="false" outlineLevel="0" collapsed="false">
      <c r="A7" s="8" t="str">
        <f aca="false">"BALLAST  |  target "&amp;TEXT(Setup!C10,"0.0#%")</f>
        <v>BALLAST  |  target 12.5%</v>
      </c>
      <c r="B7" s="8"/>
      <c r="C7" s="8"/>
      <c r="D7" s="8"/>
      <c r="E7" s="8"/>
      <c r="F7" s="8"/>
      <c r="G7" s="8"/>
      <c r="H7" s="8"/>
    </row>
    <row r="8" customFormat="false" ht="15" hidden="false" customHeight="false" outlineLevel="0" collapsed="false">
      <c r="A8" s="9" t="s">
        <v>33</v>
      </c>
      <c r="B8" s="9" t="s">
        <v>34</v>
      </c>
      <c r="C8" s="10" t="str">
        <f aca="false">IF(COUNT('Weekly Log'!C$2:C$60)&lt;2,"",IFERROR(INDEX('Weekly Log'!C$2:C$60,COUNT('Weekly Log'!C$2:C$60))/INDEX('Weekly Log'!C$2:C$60,COUNT('Weekly Log'!C$2:C$60)-1)-1,""))</f>
        <v/>
      </c>
      <c r="D8" s="11" t="n">
        <f aca="false">Dashboard!E6</f>
        <v>136.147038801906</v>
      </c>
      <c r="E8" s="10" t="str">
        <f aca="false">IF(COUNT('Weekly Log'!C$2:C$60)&lt;2,"",IFERROR(INDEX('Weekly Log'!C$2:C$60,COUNT('Weekly Log'!C$2:C$60))/INDEX('Weekly Log'!C$2:C$60,1)-1,""))</f>
        <v/>
      </c>
      <c r="F8" s="10" t="str">
        <f aca="false">Dashboard!J6</f>
        <v/>
      </c>
      <c r="G8" s="12" t="str">
        <f aca="false">Dashboard!I6</f>
        <v/>
      </c>
      <c r="H8" s="13" t="str">
        <f aca="false">IF(COUNT('Weekly Log'!C$2:C$60)&lt;2,"",IF(COUNT('Weekly Log'!C$2:C$60)&gt;=4,IF(INDEX('Weekly Log'!C$2:C$60,COUNT('Weekly Log'!C$2:C$60)-2)&gt;INDEX('Weekly Log'!C$2:C$60,COUNT('Weekly Log'!C$2:C$60)-3),"▲",IF(INDEX('Weekly Log'!C$2:C$60,COUNT('Weekly Log'!C$2:C$60)-2)&lt;INDEX('Weekly Log'!C$2:C$60,COUNT('Weekly Log'!C$2:C$60)-3),"▼","▬"))&amp;" ","")&amp;IF(COUNT('Weekly Log'!C$2:C$60)&gt;=3,IF(INDEX('Weekly Log'!C$2:C$60,COUNT('Weekly Log'!C$2:C$60)-1)&gt;INDEX('Weekly Log'!C$2:C$60,COUNT('Weekly Log'!C$2:C$60)-2),"▲",IF(INDEX('Weekly Log'!C$2:C$60,COUNT('Weekly Log'!C$2:C$60)-1)&lt;INDEX('Weekly Log'!C$2:C$60,COUNT('Weekly Log'!C$2:C$60)-2),"▼","▬"))&amp;" ","")&amp;IF(INDEX('Weekly Log'!C$2:C$60,COUNT('Weekly Log'!C$2:C$60))&gt;INDEX('Weekly Log'!C$2:C$60,COUNT('Weekly Log'!C$2:C$60)-1),"▲",IF(INDEX('Weekly Log'!C$2:C$60,COUNT('Weekly Log'!C$2:C$60))&lt;INDEX('Weekly Log'!C$2:C$60,COUNT('Weekly Log'!C$2:C$60)-1),"▼","▬")))</f>
        <v/>
      </c>
    </row>
    <row r="9" customFormat="false" ht="15" hidden="false" customHeight="false" outlineLevel="0" collapsed="false">
      <c r="A9" s="8" t="str">
        <f aca="false">"SATELLITE  |  target "&amp;TEXT(Setup!C11+Setup!C12,"0.0#%")</f>
        <v>SATELLITE  |  target 22.5%</v>
      </c>
      <c r="B9" s="8"/>
      <c r="C9" s="8"/>
      <c r="D9" s="8"/>
      <c r="E9" s="8"/>
      <c r="F9" s="8"/>
      <c r="G9" s="8"/>
      <c r="H9" s="8"/>
    </row>
    <row r="10" customFormat="false" ht="15" hidden="false" customHeight="false" outlineLevel="0" collapsed="false">
      <c r="A10" s="9" t="s">
        <v>35</v>
      </c>
      <c r="B10" s="9" t="s">
        <v>36</v>
      </c>
      <c r="C10" s="10" t="str">
        <f aca="false">IF(COUNT('Weekly Log'!D$2:D$60)&lt;2,"",IFERROR(INDEX('Weekly Log'!D$2:D$60,COUNT('Weekly Log'!D$2:D$60))/INDEX('Weekly Log'!D$2:D$60,COUNT('Weekly Log'!D$2:D$60)-1)-1,""))</f>
        <v/>
      </c>
      <c r="D10" s="11" t="n">
        <f aca="false">Dashboard!E7</f>
        <v>122.532334921715</v>
      </c>
      <c r="E10" s="10" t="str">
        <f aca="false">IF(COUNT('Weekly Log'!D$2:D$60)&lt;2,"",IFERROR(INDEX('Weekly Log'!D$2:D$60,COUNT('Weekly Log'!D$2:D$60))/INDEX('Weekly Log'!D$2:D$60,1)-1,""))</f>
        <v/>
      </c>
      <c r="F10" s="10" t="str">
        <f aca="false">Dashboard!J7</f>
        <v/>
      </c>
      <c r="G10" s="12" t="str">
        <f aca="false">Dashboard!I7</f>
        <v/>
      </c>
      <c r="H10" s="13" t="str">
        <f aca="false">IF(COUNT('Weekly Log'!D$2:D$60)&lt;2,"",IF(COUNT('Weekly Log'!D$2:D$60)&gt;=4,IF(INDEX('Weekly Log'!D$2:D$60,COUNT('Weekly Log'!D$2:D$60)-2)&gt;INDEX('Weekly Log'!D$2:D$60,COUNT('Weekly Log'!D$2:D$60)-3),"▲",IF(INDEX('Weekly Log'!D$2:D$60,COUNT('Weekly Log'!D$2:D$60)-2)&lt;INDEX('Weekly Log'!D$2:D$60,COUNT('Weekly Log'!D$2:D$60)-3),"▼","▬"))&amp;" ","")&amp;IF(COUNT('Weekly Log'!D$2:D$60)&gt;=3,IF(INDEX('Weekly Log'!D$2:D$60,COUNT('Weekly Log'!D$2:D$60)-1)&gt;INDEX('Weekly Log'!D$2:D$60,COUNT('Weekly Log'!D$2:D$60)-2),"▲",IF(INDEX('Weekly Log'!D$2:D$60,COUNT('Weekly Log'!D$2:D$60)-1)&lt;INDEX('Weekly Log'!D$2:D$60,COUNT('Weekly Log'!D$2:D$60)-2),"▼","▬"))&amp;" ","")&amp;IF(INDEX('Weekly Log'!D$2:D$60,COUNT('Weekly Log'!D$2:D$60))&gt;INDEX('Weekly Log'!D$2:D$60,COUNT('Weekly Log'!D$2:D$60)-1),"▲",IF(INDEX('Weekly Log'!D$2:D$60,COUNT('Weekly Log'!D$2:D$60))&lt;INDEX('Weekly Log'!D$2:D$60,COUNT('Weekly Log'!D$2:D$60)-1),"▼","▬")))</f>
        <v/>
      </c>
    </row>
    <row r="11" customFormat="false" ht="15" hidden="false" customHeight="false" outlineLevel="0" collapsed="false">
      <c r="A11" s="9" t="s">
        <v>37</v>
      </c>
      <c r="B11" s="9" t="s">
        <v>38</v>
      </c>
      <c r="C11" s="10" t="str">
        <f aca="false">IF(COUNT('Weekly Log'!E$2:E$60)&lt;2,"",IFERROR(INDEX('Weekly Log'!E$2:E$60,COUNT('Weekly Log'!E$2:E$60))/INDEX('Weekly Log'!E$2:E$60,COUNT('Weekly Log'!E$2:E$60)-1)-1,""))</f>
        <v/>
      </c>
      <c r="D11" s="11" t="n">
        <f aca="false">Dashboard!E8</f>
        <v>122.532334921715</v>
      </c>
      <c r="E11" s="10" t="str">
        <f aca="false">IF(COUNT('Weekly Log'!E$2:E$60)&lt;2,"",IFERROR(INDEX('Weekly Log'!E$2:E$60,COUNT('Weekly Log'!E$2:E$60))/INDEX('Weekly Log'!E$2:E$60,1)-1,""))</f>
        <v/>
      </c>
      <c r="F11" s="10" t="str">
        <f aca="false">Dashboard!J8</f>
        <v/>
      </c>
      <c r="G11" s="12" t="str">
        <f aca="false">Dashboard!I8</f>
        <v/>
      </c>
      <c r="H11" s="13" t="str">
        <f aca="false">IF(COUNT('Weekly Log'!E$2:E$60)&lt;2,"",IF(COUNT('Weekly Log'!E$2:E$60)&gt;=4,IF(INDEX('Weekly Log'!E$2:E$60,COUNT('Weekly Log'!E$2:E$60)-2)&gt;INDEX('Weekly Log'!E$2:E$60,COUNT('Weekly Log'!E$2:E$60)-3),"▲",IF(INDEX('Weekly Log'!E$2:E$60,COUNT('Weekly Log'!E$2:E$60)-2)&lt;INDEX('Weekly Log'!E$2:E$60,COUNT('Weekly Log'!E$2:E$60)-3),"▼","▬"))&amp;" ","")&amp;IF(COUNT('Weekly Log'!E$2:E$60)&gt;=3,IF(INDEX('Weekly Log'!E$2:E$60,COUNT('Weekly Log'!E$2:E$60)-1)&gt;INDEX('Weekly Log'!E$2:E$60,COUNT('Weekly Log'!E$2:E$60)-2),"▲",IF(INDEX('Weekly Log'!E$2:E$60,COUNT('Weekly Log'!E$2:E$60)-1)&lt;INDEX('Weekly Log'!E$2:E$60,COUNT('Weekly Log'!E$2:E$60)-2),"▼","▬"))&amp;" ","")&amp;IF(INDEX('Weekly Log'!E$2:E$60,COUNT('Weekly Log'!E$2:E$60))&gt;INDEX('Weekly Log'!E$2:E$60,COUNT('Weekly Log'!E$2:E$60)-1),"▲",IF(INDEX('Weekly Log'!E$2:E$60,COUNT('Weekly Log'!E$2:E$60))&lt;INDEX('Weekly Log'!E$2:E$60,COUNT('Weekly Log'!E$2:E$60)-1),"▼","▬")))</f>
        <v/>
      </c>
    </row>
    <row r="12" customFormat="false" ht="15" hidden="false" customHeight="false" outlineLevel="0" collapsed="false">
      <c r="A12" s="8" t="s">
        <v>39</v>
      </c>
      <c r="B12" s="8"/>
      <c r="C12" s="8"/>
      <c r="D12" s="8"/>
      <c r="E12" s="8"/>
      <c r="F12" s="8"/>
      <c r="G12" s="8"/>
      <c r="H12" s="8"/>
    </row>
    <row r="13" customFormat="false" ht="15" hidden="false" customHeight="false" outlineLevel="0" collapsed="false">
      <c r="A13" s="9" t="s">
        <v>40</v>
      </c>
      <c r="B13" s="9" t="s">
        <v>41</v>
      </c>
      <c r="C13" s="10" t="str">
        <f aca="false">IF(COUNT('Weekly Log'!F$2:F$60)&lt;2,"",IFERROR(INDEX('Weekly Log'!F$2:F$60,COUNT('Weekly Log'!F$2:F$60))/INDEX('Weekly Log'!F$2:F$60,COUNT('Weekly Log'!F$2:F$60)-1)-1,""))</f>
        <v/>
      </c>
      <c r="D13" s="13" t="s">
        <v>42</v>
      </c>
      <c r="E13" s="10" t="str">
        <f aca="false">IF(COUNT('Weekly Log'!F$2:F$60)&lt;2,"",IFERROR(INDEX('Weekly Log'!F$2:F$60,COUNT('Weekly Log'!F$2:F$60))/INDEX('Weekly Log'!F$2:F$60,1)-1,""))</f>
        <v/>
      </c>
      <c r="F13" s="13" t="s">
        <v>42</v>
      </c>
      <c r="G13" s="13" t="s">
        <v>42</v>
      </c>
      <c r="H13" s="13" t="str">
        <f aca="false">IF(COUNT('Weekly Log'!F$2:F$60)&lt;2,"",IF(COUNT('Weekly Log'!F$2:F$60)&gt;=4,IF(INDEX('Weekly Log'!F$2:F$60,COUNT('Weekly Log'!F$2:F$60)-2)&gt;INDEX('Weekly Log'!F$2:F$60,COUNT('Weekly Log'!F$2:F$60)-3),"▲",IF(INDEX('Weekly Log'!F$2:F$60,COUNT('Weekly Log'!F$2:F$60)-2)&lt;INDEX('Weekly Log'!F$2:F$60,COUNT('Weekly Log'!F$2:F$60)-3),"▼","▬"))&amp;" ","")&amp;IF(COUNT('Weekly Log'!F$2:F$60)&gt;=3,IF(INDEX('Weekly Log'!F$2:F$60,COUNT('Weekly Log'!F$2:F$60)-1)&gt;INDEX('Weekly Log'!F$2:F$60,COUNT('Weekly Log'!F$2:F$60)-2),"▲",IF(INDEX('Weekly Log'!F$2:F$60,COUNT('Weekly Log'!F$2:F$60)-1)&lt;INDEX('Weekly Log'!F$2:F$60,COUNT('Weekly Log'!F$2:F$60)-2),"▼","▬"))&amp;" ","")&amp;IF(INDEX('Weekly Log'!F$2:F$60,COUNT('Weekly Log'!F$2:F$60))&gt;INDEX('Weekly Log'!F$2:F$60,COUNT('Weekly Log'!F$2:F$60)-1),"▲",IF(INDEX('Weekly Log'!F$2:F$60,COUNT('Weekly Log'!F$2:F$60))&lt;INDEX('Weekly Log'!F$2:F$60,COUNT('Weekly Log'!F$2:F$60)-1),"▼","▬")))</f>
        <v/>
      </c>
    </row>
    <row r="14" customFormat="false" ht="15" hidden="false" customHeight="false" outlineLevel="0" collapsed="false">
      <c r="A14" s="9" t="s">
        <v>43</v>
      </c>
      <c r="B14" s="9" t="s">
        <v>44</v>
      </c>
      <c r="C14" s="10" t="str">
        <f aca="false">IF(COUNT('Weekly Log'!G$2:G$60)&lt;2,"",IFERROR(INDEX('Weekly Log'!G$2:G$60,COUNT('Weekly Log'!G$2:G$60))/INDEX('Weekly Log'!G$2:G$60,COUNT('Weekly Log'!G$2:G$60)-1)-1,""))</f>
        <v/>
      </c>
      <c r="D14" s="13" t="s">
        <v>42</v>
      </c>
      <c r="E14" s="10" t="str">
        <f aca="false">IF(COUNT('Weekly Log'!G$2:G$60)&lt;2,"",IFERROR(INDEX('Weekly Log'!G$2:G$60,COUNT('Weekly Log'!G$2:G$60))/INDEX('Weekly Log'!G$2:G$60,1)-1,""))</f>
        <v/>
      </c>
      <c r="F14" s="13" t="s">
        <v>42</v>
      </c>
      <c r="G14" s="13" t="s">
        <v>42</v>
      </c>
      <c r="H14" s="13" t="str">
        <f aca="false">IF(COUNT('Weekly Log'!G$2:G$60)&lt;2,"",IF(COUNT('Weekly Log'!G$2:G$60)&gt;=4,IF(INDEX('Weekly Log'!G$2:G$60,COUNT('Weekly Log'!G$2:G$60)-2)&gt;INDEX('Weekly Log'!G$2:G$60,COUNT('Weekly Log'!G$2:G$60)-3),"▲",IF(INDEX('Weekly Log'!G$2:G$60,COUNT('Weekly Log'!G$2:G$60)-2)&lt;INDEX('Weekly Log'!G$2:G$60,COUNT('Weekly Log'!G$2:G$60)-3),"▼","▬"))&amp;" ","")&amp;IF(COUNT('Weekly Log'!G$2:G$60)&gt;=3,IF(INDEX('Weekly Log'!G$2:G$60,COUNT('Weekly Log'!G$2:G$60)-1)&gt;INDEX('Weekly Log'!G$2:G$60,COUNT('Weekly Log'!G$2:G$60)-2),"▲",IF(INDEX('Weekly Log'!G$2:G$60,COUNT('Weekly Log'!G$2:G$60)-1)&lt;INDEX('Weekly Log'!G$2:G$60,COUNT('Weekly Log'!G$2:G$60)-2),"▼","▬"))&amp;" ","")&amp;IF(INDEX('Weekly Log'!G$2:G$60,COUNT('Weekly Log'!G$2:G$60))&gt;INDEX('Weekly Log'!G$2:G$60,COUNT('Weekly Log'!G$2:G$60)-1),"▲",IF(INDEX('Weekly Log'!G$2:G$60,COUNT('Weekly Log'!G$2:G$60))&lt;INDEX('Weekly Log'!G$2:G$60,COUNT('Weekly Log'!G$2:G$60)-1),"▼","▬")))</f>
        <v/>
      </c>
    </row>
    <row r="16" customFormat="false" ht="15" hidden="false" customHeight="false" outlineLevel="0" collapsed="false">
      <c r="A16" s="14" t="s">
        <v>45</v>
      </c>
      <c r="B16" s="14"/>
      <c r="C16" s="15"/>
      <c r="D16" s="16" t="n">
        <f aca="false">Dashboard!E9</f>
        <v>1089.17631041525</v>
      </c>
      <c r="E16" s="15"/>
      <c r="F16" s="17" t="str">
        <f aca="false">Dashboard!J9</f>
        <v/>
      </c>
      <c r="G16" s="18" t="str">
        <f aca="false">Dashboard!I9</f>
        <v/>
      </c>
      <c r="H16" s="15"/>
    </row>
    <row r="17" customFormat="false" ht="15" hidden="false" customHeight="false" outlineLevel="0" collapsed="false">
      <c r="A17" s="9" t="s">
        <v>46</v>
      </c>
      <c r="B17" s="9"/>
      <c r="C17" s="13"/>
      <c r="D17" s="13"/>
      <c r="E17" s="13"/>
      <c r="F17" s="10" t="str">
        <f aca="false">Dashboard!E19</f>
        <v/>
      </c>
      <c r="G17" s="13"/>
      <c r="H17" s="13"/>
    </row>
    <row r="18" customFormat="false" ht="15" hidden="false" customHeight="false" outlineLevel="0" collapsed="false">
      <c r="A18" s="9" t="s">
        <v>47</v>
      </c>
      <c r="B18" s="9"/>
      <c r="C18" s="13"/>
      <c r="D18" s="13"/>
      <c r="E18" s="13"/>
      <c r="F18" s="10" t="str">
        <f aca="false">Dashboard!E20</f>
        <v/>
      </c>
      <c r="G18" s="13"/>
      <c r="H18" s="13"/>
    </row>
    <row r="19" customFormat="false" ht="15" hidden="false" customHeight="false" outlineLevel="0" collapsed="false">
      <c r="A19" s="6" t="s">
        <v>48</v>
      </c>
    </row>
    <row r="21" customFormat="false" ht="15" hidden="false" customHeight="false" outlineLevel="0" collapsed="false">
      <c r="A21" s="19" t="s">
        <v>49</v>
      </c>
    </row>
    <row r="22" customFormat="false" ht="15" hidden="false" customHeight="false" outlineLevel="0" collapsed="false">
      <c r="A22" s="20" t="s">
        <v>50</v>
      </c>
      <c r="B22" s="20" t="s">
        <v>24</v>
      </c>
      <c r="C22" s="21" t="s">
        <v>51</v>
      </c>
      <c r="D22" s="21"/>
      <c r="E22" s="21"/>
      <c r="F22" s="21"/>
      <c r="G22" s="21"/>
      <c r="H22" s="21"/>
    </row>
    <row r="23" customFormat="false" ht="78" hidden="false" customHeight="true" outlineLevel="0" collapsed="false">
      <c r="A23" s="22" t="s">
        <v>52</v>
      </c>
      <c r="B23" s="23" t="s">
        <v>32</v>
      </c>
      <c r="C23" s="24" t="s">
        <v>53</v>
      </c>
      <c r="D23" s="24"/>
      <c r="E23" s="24"/>
      <c r="F23" s="24"/>
      <c r="G23" s="24"/>
      <c r="H23" s="24"/>
    </row>
    <row r="24" customFormat="false" ht="61.5" hidden="false" customHeight="true" outlineLevel="0" collapsed="false">
      <c r="A24" s="22" t="s">
        <v>54</v>
      </c>
      <c r="B24" s="23" t="s">
        <v>34</v>
      </c>
      <c r="C24" s="24" t="s">
        <v>55</v>
      </c>
      <c r="D24" s="24"/>
      <c r="E24" s="24"/>
      <c r="F24" s="24"/>
      <c r="G24" s="24"/>
      <c r="H24" s="24"/>
    </row>
    <row r="25" customFormat="false" ht="78" hidden="false" customHeight="true" outlineLevel="0" collapsed="false">
      <c r="A25" s="22" t="s">
        <v>56</v>
      </c>
      <c r="B25" s="23" t="s">
        <v>36</v>
      </c>
      <c r="C25" s="24" t="s">
        <v>57</v>
      </c>
      <c r="D25" s="24"/>
      <c r="E25" s="24"/>
      <c r="F25" s="24"/>
      <c r="G25" s="24"/>
      <c r="H25" s="24"/>
    </row>
    <row r="26" customFormat="false" ht="78" hidden="false" customHeight="true" outlineLevel="0" collapsed="false">
      <c r="A26" s="22" t="s">
        <v>58</v>
      </c>
      <c r="B26" s="23" t="s">
        <v>38</v>
      </c>
      <c r="C26" s="24" t="s">
        <v>59</v>
      </c>
      <c r="D26" s="24"/>
      <c r="E26" s="24"/>
      <c r="F26" s="24"/>
      <c r="G26" s="24"/>
      <c r="H26" s="24"/>
    </row>
    <row r="27" customFormat="false" ht="61.5" hidden="false" customHeight="true" outlineLevel="0" collapsed="false">
      <c r="A27" s="22" t="s">
        <v>60</v>
      </c>
      <c r="B27" s="23" t="s">
        <v>41</v>
      </c>
      <c r="C27" s="24" t="s">
        <v>61</v>
      </c>
      <c r="D27" s="24"/>
      <c r="E27" s="24"/>
      <c r="F27" s="24"/>
      <c r="G27" s="24"/>
      <c r="H27" s="24"/>
    </row>
    <row r="28" customFormat="false" ht="61.5" hidden="false" customHeight="true" outlineLevel="0" collapsed="false">
      <c r="A28" s="22" t="s">
        <v>62</v>
      </c>
      <c r="B28" s="23" t="s">
        <v>44</v>
      </c>
      <c r="C28" s="24" t="s">
        <v>63</v>
      </c>
      <c r="D28" s="24"/>
      <c r="E28" s="24"/>
      <c r="F28" s="24"/>
      <c r="G28" s="24"/>
      <c r="H28" s="24"/>
    </row>
    <row r="30" customFormat="false" ht="15" hidden="false" customHeight="false" outlineLevel="0" collapsed="false">
      <c r="A30" s="6" t="s">
        <v>64</v>
      </c>
    </row>
  </sheetData>
  <mergeCells count="7">
    <mergeCell ref="C22:H22"/>
    <mergeCell ref="C23:H23"/>
    <mergeCell ref="C24:H24"/>
    <mergeCell ref="C25:H25"/>
    <mergeCell ref="C26:H26"/>
    <mergeCell ref="C27:H27"/>
    <mergeCell ref="C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</cols>
  <sheetData>
    <row r="1" customFormat="false" ht="19.7" hidden="false" customHeight="false" outlineLevel="0" collapsed="false">
      <c r="A1" s="5" t="s">
        <v>65</v>
      </c>
    </row>
    <row r="2" customFormat="false" ht="15" hidden="false" customHeight="false" outlineLevel="0" collapsed="false">
      <c r="A2" s="6" t="s">
        <v>66</v>
      </c>
    </row>
    <row r="4" customFormat="false" ht="30" hidden="false" customHeight="true" outlineLevel="0" collapsed="false">
      <c r="A4" s="7" t="s">
        <v>67</v>
      </c>
      <c r="B4" s="7" t="s">
        <v>68</v>
      </c>
      <c r="C4" s="7" t="s">
        <v>69</v>
      </c>
      <c r="D4" s="7" t="s">
        <v>70</v>
      </c>
      <c r="E4" s="7" t="s">
        <v>71</v>
      </c>
      <c r="F4" s="7" t="s">
        <v>72</v>
      </c>
      <c r="G4" s="7" t="s">
        <v>73</v>
      </c>
      <c r="H4" s="7" t="s">
        <v>74</v>
      </c>
      <c r="I4" s="7" t="s">
        <v>75</v>
      </c>
      <c r="J4" s="7" t="s">
        <v>76</v>
      </c>
      <c r="K4" s="7" t="s">
        <v>77</v>
      </c>
      <c r="L4" s="7" t="s">
        <v>78</v>
      </c>
    </row>
    <row r="5" customFormat="false" ht="15" hidden="false" customHeight="false" outlineLevel="0" collapsed="false">
      <c r="A5" s="9" t="str">
        <f aca="false">Setup!B9</f>
        <v>VOO</v>
      </c>
      <c r="B5" s="9" t="str">
        <f aca="false">Setup!A9</f>
        <v>US equity (S&amp;P 500)</v>
      </c>
      <c r="C5" s="25" t="n">
        <f aca="false">Setup!C9</f>
        <v>0.65</v>
      </c>
      <c r="D5" s="26" t="n">
        <f aca="false">SUMIFS(Ledger!$D$2:$D$200,Ledger!$B$2:$B$200,A5)</f>
        <v>2600</v>
      </c>
      <c r="E5" s="27" t="n">
        <f aca="false">SUMIFS(Ledger!$E$2:$E$200,Ledger!$B$2:$B$200,A5)</f>
        <v>707.964601769912</v>
      </c>
      <c r="F5" s="28" t="n">
        <f aca="false">SUMIFS(Ledger!$H$2:$H$200,Ledger!$B$2:$B$200,A5)</f>
        <v>0</v>
      </c>
      <c r="G5" s="27" t="str">
        <f aca="false">IF(Setup!D9="","",Setup!D9)</f>
        <v/>
      </c>
      <c r="H5" s="27" t="str">
        <f aca="false">IF(OR(G5="",F5=0),"",F5*G5)</f>
        <v/>
      </c>
      <c r="I5" s="29" t="str">
        <f aca="false">IF(H5="","",H5-E5)</f>
        <v/>
      </c>
      <c r="J5" s="30" t="str">
        <f aca="false">IF(OR(H5="",E5=0),"",I5/E5)</f>
        <v/>
      </c>
      <c r="K5" s="31" t="str">
        <f aca="false">IF(OR(H5="",$H$9=""),"",H5/$H$9)</f>
        <v/>
      </c>
      <c r="L5" s="30" t="str">
        <f aca="false">IF(K5="","",K5-C5)</f>
        <v/>
      </c>
    </row>
    <row r="6" customFormat="false" ht="15" hidden="false" customHeight="false" outlineLevel="0" collapsed="false">
      <c r="A6" s="9" t="str">
        <f aca="false">Setup!B10</f>
        <v>SGOV</v>
      </c>
      <c r="B6" s="9" t="str">
        <f aca="false">Setup!A10</f>
        <v>Short-term Treasuries / TIPS</v>
      </c>
      <c r="C6" s="25" t="n">
        <f aca="false">Setup!C10</f>
        <v>0.125</v>
      </c>
      <c r="D6" s="26" t="n">
        <f aca="false">SUMIFS(Ledger!$D$2:$D$200,Ledger!$B$2:$B$200,A6)</f>
        <v>500</v>
      </c>
      <c r="E6" s="27" t="n">
        <f aca="false">SUMIFS(Ledger!$E$2:$E$200,Ledger!$B$2:$B$200,A6)</f>
        <v>136.147038801906</v>
      </c>
      <c r="F6" s="28" t="n">
        <f aca="false">SUMIFS(Ledger!$H$2:$H$200,Ledger!$B$2:$B$200,A6)</f>
        <v>0</v>
      </c>
      <c r="G6" s="27" t="str">
        <f aca="false">IF(Setup!D10="","",Setup!D10)</f>
        <v/>
      </c>
      <c r="H6" s="27" t="str">
        <f aca="false">IF(OR(G6="",F6=0),"",F6*G6)</f>
        <v/>
      </c>
      <c r="I6" s="29" t="str">
        <f aca="false">IF(H6="","",H6-E6)</f>
        <v/>
      </c>
      <c r="J6" s="30" t="str">
        <f aca="false">IF(OR(H6="",E6=0),"",I6/E6)</f>
        <v/>
      </c>
      <c r="K6" s="31" t="str">
        <f aca="false">IF(OR(H6="",$H$9=""),"",H6/$H$9)</f>
        <v/>
      </c>
      <c r="L6" s="30" t="str">
        <f aca="false">IF(K6="","",K6-C6)</f>
        <v/>
      </c>
    </row>
    <row r="7" customFormat="false" ht="15" hidden="false" customHeight="false" outlineLevel="0" collapsed="false">
      <c r="A7" s="9" t="str">
        <f aca="false">Setup!B11</f>
        <v>ITA</v>
      </c>
      <c r="B7" s="9" t="str">
        <f aca="false">Setup!A11</f>
        <v>Defense / aerospace</v>
      </c>
      <c r="C7" s="25" t="n">
        <f aca="false">Setup!C11</f>
        <v>0.1125</v>
      </c>
      <c r="D7" s="26" t="n">
        <f aca="false">SUMIFS(Ledger!$D$2:$D$200,Ledger!$B$2:$B$200,A7)</f>
        <v>450</v>
      </c>
      <c r="E7" s="27" t="n">
        <f aca="false">SUMIFS(Ledger!$E$2:$E$200,Ledger!$B$2:$B$200,A7)</f>
        <v>122.532334921715</v>
      </c>
      <c r="F7" s="28" t="n">
        <f aca="false">SUMIFS(Ledger!$H$2:$H$200,Ledger!$B$2:$B$200,A7)</f>
        <v>0</v>
      </c>
      <c r="G7" s="27" t="str">
        <f aca="false">IF(Setup!D11="","",Setup!D11)</f>
        <v/>
      </c>
      <c r="H7" s="27" t="str">
        <f aca="false">IF(OR(G7="",F7=0),"",F7*G7)</f>
        <v/>
      </c>
      <c r="I7" s="29" t="str">
        <f aca="false">IF(H7="","",H7-E7)</f>
        <v/>
      </c>
      <c r="J7" s="30" t="str">
        <f aca="false">IF(OR(H7="",E7=0),"",I7/E7)</f>
        <v/>
      </c>
      <c r="K7" s="31" t="str">
        <f aca="false">IF(OR(H7="",$H$9=""),"",H7/$H$9)</f>
        <v/>
      </c>
      <c r="L7" s="30" t="str">
        <f aca="false">IF(K7="","",K7-C7)</f>
        <v/>
      </c>
    </row>
    <row r="8" customFormat="false" ht="15" hidden="false" customHeight="false" outlineLevel="0" collapsed="false">
      <c r="A8" s="9" t="str">
        <f aca="false">Setup!B12</f>
        <v>NLR</v>
      </c>
      <c r="B8" s="9" t="str">
        <f aca="false">Setup!A12</f>
        <v>Nuclear energy</v>
      </c>
      <c r="C8" s="25" t="n">
        <f aca="false">Setup!C12</f>
        <v>0.1125</v>
      </c>
      <c r="D8" s="26" t="n">
        <f aca="false">SUMIFS(Ledger!$D$2:$D$200,Ledger!$B$2:$B$200,A8)</f>
        <v>450</v>
      </c>
      <c r="E8" s="27" t="n">
        <f aca="false">SUMIFS(Ledger!$E$2:$E$200,Ledger!$B$2:$B$200,A8)</f>
        <v>122.532334921715</v>
      </c>
      <c r="F8" s="28" t="n">
        <f aca="false">SUMIFS(Ledger!$H$2:$H$200,Ledger!$B$2:$B$200,A8)</f>
        <v>0</v>
      </c>
      <c r="G8" s="27" t="str">
        <f aca="false">IF(Setup!D12="","",Setup!D12)</f>
        <v/>
      </c>
      <c r="H8" s="27" t="str">
        <f aca="false">IF(OR(G8="",F8=0),"",F8*G8)</f>
        <v/>
      </c>
      <c r="I8" s="29" t="str">
        <f aca="false">IF(H8="","",H8-E8)</f>
        <v/>
      </c>
      <c r="J8" s="30" t="str">
        <f aca="false">IF(OR(H8="",E8=0),"",I8/E8)</f>
        <v/>
      </c>
      <c r="K8" s="31" t="str">
        <f aca="false">IF(OR(H8="",$H$9=""),"",H8/$H$9)</f>
        <v/>
      </c>
      <c r="L8" s="30" t="str">
        <f aca="false">IF(K8="","",K8-C8)</f>
        <v/>
      </c>
    </row>
    <row r="9" customFormat="false" ht="15" hidden="false" customHeight="false" outlineLevel="0" collapsed="false">
      <c r="A9" s="14" t="s">
        <v>79</v>
      </c>
      <c r="B9" s="14"/>
      <c r="C9" s="32" t="n">
        <f aca="false">SUM(C5:C8)</f>
        <v>1</v>
      </c>
      <c r="D9" s="33" t="n">
        <f aca="false">SUM(D5:D8)</f>
        <v>4000</v>
      </c>
      <c r="E9" s="34" t="n">
        <f aca="false">SUM(E5:E8)</f>
        <v>1089.17631041525</v>
      </c>
      <c r="F9" s="14"/>
      <c r="G9" s="14"/>
      <c r="H9" s="34" t="str">
        <f aca="false">IF(COUNT(H5:H8)=4,SUM(H5:H8),"")</f>
        <v/>
      </c>
      <c r="I9" s="35" t="str">
        <f aca="false">IF(H9="","",H9-E9)</f>
        <v/>
      </c>
      <c r="J9" s="36" t="str">
        <f aca="false">IF(OR(H9="",E9=0),"",I9/E9)</f>
        <v/>
      </c>
      <c r="K9" s="14"/>
      <c r="L9" s="14"/>
    </row>
    <row r="11" customFormat="false" ht="15" hidden="false" customHeight="false" outlineLevel="0" collapsed="false">
      <c r="A11" s="37" t="s">
        <v>80</v>
      </c>
      <c r="E11" s="38" t="str">
        <f aca="false">IF(I9="","",I9*Setup!B3)</f>
        <v/>
      </c>
    </row>
    <row r="12" customFormat="false" ht="15" hidden="false" customHeight="false" outlineLevel="0" collapsed="false">
      <c r="A12" s="37" t="s">
        <v>81</v>
      </c>
      <c r="E12" s="39" t="n">
        <f aca="false">SUM(Ledger!F2:F200)</f>
        <v>4.76991150442478</v>
      </c>
    </row>
    <row r="13" customFormat="false" ht="15" hidden="false" customHeight="false" outlineLevel="0" collapsed="false">
      <c r="A13" s="37" t="s">
        <v>82</v>
      </c>
      <c r="E13" s="40" t="n">
        <f aca="false">IF(E9=0,"",E12/E9)</f>
        <v>0.004379375</v>
      </c>
    </row>
    <row r="15" customFormat="false" ht="15" hidden="false" customHeight="false" outlineLevel="0" collapsed="false">
      <c r="A15" s="19" t="s">
        <v>46</v>
      </c>
    </row>
    <row r="16" customFormat="false" ht="15" hidden="false" customHeight="false" outlineLevel="0" collapsed="false">
      <c r="A16" s="41" t="s">
        <v>71</v>
      </c>
      <c r="E16" s="39" t="n">
        <f aca="false">SUM(Contributions!D2:D61)</f>
        <v>1089.17631041525</v>
      </c>
    </row>
    <row r="17" customFormat="false" ht="15" hidden="false" customHeight="false" outlineLevel="0" collapsed="false">
      <c r="A17" s="41" t="s">
        <v>83</v>
      </c>
      <c r="E17" s="42" t="n">
        <f aca="false">SUM(Contributions!F2:F61)</f>
        <v>0</v>
      </c>
    </row>
    <row r="18" customFormat="false" ht="15" hidden="false" customHeight="false" outlineLevel="0" collapsed="false">
      <c r="A18" s="41" t="s">
        <v>74</v>
      </c>
      <c r="E18" s="39" t="str">
        <f aca="false">IF(OR(Setup!D9="",E17=0),"",E17*Setup!D9)</f>
        <v/>
      </c>
    </row>
    <row r="19" customFormat="false" ht="15" hidden="false" customHeight="false" outlineLevel="0" collapsed="false">
      <c r="A19" s="41" t="s">
        <v>76</v>
      </c>
      <c r="E19" s="43" t="str">
        <f aca="false">IF(OR(E18="",E16=0),"",(E18-E16)/E16)</f>
        <v/>
      </c>
    </row>
    <row r="20" customFormat="false" ht="15" hidden="false" customHeight="false" outlineLevel="0" collapsed="false">
      <c r="A20" s="41" t="s">
        <v>84</v>
      </c>
      <c r="E20" s="43" t="str">
        <f aca="false">IF(OR(J9="",E19=""),"",J9-E19)</f>
        <v/>
      </c>
    </row>
    <row r="21" customFormat="false" ht="15" hidden="false" customHeight="false" outlineLevel="0" collapsed="false">
      <c r="A21" s="6" t="s">
        <v>85</v>
      </c>
    </row>
    <row r="23" customFormat="false" ht="15" hidden="false" customHeight="false" outlineLevel="0" collapsed="false">
      <c r="A23" s="19" t="s">
        <v>86</v>
      </c>
    </row>
    <row r="24" customFormat="false" ht="15" hidden="false" customHeight="false" outlineLevel="0" collapsed="false">
      <c r="A24" s="44" t="s">
        <v>67</v>
      </c>
      <c r="B24" s="44" t="s">
        <v>68</v>
      </c>
      <c r="C24" s="44" t="s">
        <v>69</v>
      </c>
      <c r="D24" s="44" t="s">
        <v>87</v>
      </c>
      <c r="E24" s="44" t="s">
        <v>88</v>
      </c>
      <c r="F24" s="44" t="s">
        <v>89</v>
      </c>
      <c r="G24" s="44" t="s">
        <v>90</v>
      </c>
    </row>
    <row r="25" customFormat="false" ht="15" hidden="false" customHeight="false" outlineLevel="0" collapsed="false">
      <c r="A25" s="9" t="str">
        <f aca="false">Setup!B9</f>
        <v>VOO</v>
      </c>
      <c r="B25" s="9" t="str">
        <f aca="false">Setup!A9</f>
        <v>US equity (S&amp;P 500)</v>
      </c>
      <c r="C25" s="25" t="n">
        <f aca="false">Setup!C9</f>
        <v>0.65</v>
      </c>
      <c r="D25" s="26" t="n">
        <f aca="false">Setup!$B$4*C25</f>
        <v>2600</v>
      </c>
      <c r="E25" s="27" t="n">
        <f aca="false">D25/Setup!$B$3</f>
        <v>707.964601769912</v>
      </c>
      <c r="F25" s="27" t="n">
        <f aca="false">MAX(Setup!$B$5,Setup!$B$6*E25)</f>
        <v>1.76991150442478</v>
      </c>
      <c r="G25" s="45" t="n">
        <f aca="false">IF(E25=0,"",F25/E25)</f>
        <v>0.0025</v>
      </c>
    </row>
    <row r="26" customFormat="false" ht="15" hidden="false" customHeight="false" outlineLevel="0" collapsed="false">
      <c r="A26" s="9" t="str">
        <f aca="false">Setup!B10</f>
        <v>SGOV</v>
      </c>
      <c r="B26" s="9" t="str">
        <f aca="false">Setup!A10</f>
        <v>Short-term Treasuries / TIPS</v>
      </c>
      <c r="C26" s="25" t="n">
        <f aca="false">Setup!C10</f>
        <v>0.125</v>
      </c>
      <c r="D26" s="26" t="n">
        <f aca="false">Setup!$B$4*C26</f>
        <v>500</v>
      </c>
      <c r="E26" s="27" t="n">
        <f aca="false">D26/Setup!$B$3</f>
        <v>136.147038801906</v>
      </c>
      <c r="F26" s="27" t="n">
        <f aca="false">MAX(Setup!$B$5,Setup!$B$6*E26)</f>
        <v>1</v>
      </c>
      <c r="G26" s="45" t="n">
        <f aca="false">IF(E26=0,"",F26/E26)</f>
        <v>0.007345</v>
      </c>
    </row>
    <row r="27" customFormat="false" ht="15" hidden="false" customHeight="false" outlineLevel="0" collapsed="false">
      <c r="A27" s="9" t="str">
        <f aca="false">Setup!B11</f>
        <v>ITA</v>
      </c>
      <c r="B27" s="9" t="str">
        <f aca="false">Setup!A11</f>
        <v>Defense / aerospace</v>
      </c>
      <c r="C27" s="25" t="n">
        <f aca="false">Setup!C11</f>
        <v>0.1125</v>
      </c>
      <c r="D27" s="26" t="n">
        <f aca="false">Setup!$B$4*C27</f>
        <v>450</v>
      </c>
      <c r="E27" s="27" t="n">
        <f aca="false">D27/Setup!$B$3</f>
        <v>122.532334921715</v>
      </c>
      <c r="F27" s="27" t="n">
        <f aca="false">MAX(Setup!$B$5,Setup!$B$6*E27)</f>
        <v>1</v>
      </c>
      <c r="G27" s="45" t="n">
        <f aca="false">IF(E27=0,"",F27/E27)</f>
        <v>0.00816111111111111</v>
      </c>
    </row>
    <row r="28" customFormat="false" ht="15" hidden="false" customHeight="false" outlineLevel="0" collapsed="false">
      <c r="A28" s="9" t="str">
        <f aca="false">Setup!B12</f>
        <v>NLR</v>
      </c>
      <c r="B28" s="9" t="str">
        <f aca="false">Setup!A12</f>
        <v>Nuclear energy</v>
      </c>
      <c r="C28" s="25" t="n">
        <f aca="false">Setup!C12</f>
        <v>0.1125</v>
      </c>
      <c r="D28" s="26" t="n">
        <f aca="false">Setup!$B$4*C28</f>
        <v>450</v>
      </c>
      <c r="E28" s="27" t="n">
        <f aca="false">D28/Setup!$B$3</f>
        <v>122.532334921715</v>
      </c>
      <c r="F28" s="27" t="n">
        <f aca="false">MAX(Setup!$B$5,Setup!$B$6*E28)</f>
        <v>1</v>
      </c>
      <c r="G28" s="45" t="n">
        <f aca="false">IF(E28=0,"",F28/E28)</f>
        <v>0.00816111111111111</v>
      </c>
    </row>
    <row r="29" customFormat="false" ht="15" hidden="false" customHeight="false" outlineLevel="0" collapsed="false">
      <c r="A29" s="14" t="s">
        <v>79</v>
      </c>
      <c r="B29" s="14"/>
      <c r="C29" s="32" t="n">
        <f aca="false">SUM(C25:C28)</f>
        <v>1</v>
      </c>
      <c r="D29" s="33" t="n">
        <f aca="false">SUM(D25:D28)</f>
        <v>4000</v>
      </c>
      <c r="E29" s="34" t="n">
        <f aca="false">SUM(E25:E28)</f>
        <v>1089.17631041525</v>
      </c>
      <c r="F29" s="34" t="n">
        <f aca="false">SUM(F25:F28)</f>
        <v>4.76991150442478</v>
      </c>
      <c r="G29" s="46" t="n">
        <f aca="false">IF(E29=0,"",F29/E29)</f>
        <v>0.004379375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62"/>
  </cols>
  <sheetData>
    <row r="1" customFormat="false" ht="17.35" hidden="false" customHeight="false" outlineLevel="0" collapsed="false">
      <c r="A1" s="47" t="s">
        <v>91</v>
      </c>
    </row>
    <row r="3" customFormat="false" ht="15" hidden="false" customHeight="false" outlineLevel="0" collapsed="false">
      <c r="A3" s="41" t="s">
        <v>92</v>
      </c>
      <c r="B3" s="48" t="n">
        <v>3.6725</v>
      </c>
      <c r="C3" s="6" t="s">
        <v>93</v>
      </c>
    </row>
    <row r="4" customFormat="false" ht="15" hidden="false" customHeight="false" outlineLevel="0" collapsed="false">
      <c r="A4" s="41" t="s">
        <v>94</v>
      </c>
      <c r="B4" s="49" t="n">
        <v>4000</v>
      </c>
      <c r="C4" s="6" t="s">
        <v>95</v>
      </c>
    </row>
    <row r="5" customFormat="false" ht="15" hidden="false" customHeight="false" outlineLevel="0" collapsed="false">
      <c r="A5" s="41" t="s">
        <v>96</v>
      </c>
      <c r="B5" s="50" t="n">
        <v>1</v>
      </c>
      <c r="C5" s="6" t="s">
        <v>97</v>
      </c>
    </row>
    <row r="6" customFormat="false" ht="15" hidden="false" customHeight="false" outlineLevel="0" collapsed="false">
      <c r="A6" s="41" t="s">
        <v>98</v>
      </c>
      <c r="B6" s="51" t="n">
        <v>0.0025</v>
      </c>
      <c r="C6" s="6" t="s">
        <v>99</v>
      </c>
    </row>
    <row r="8" customFormat="false" ht="23.85" hidden="false" customHeight="false" outlineLevel="0" collapsed="false">
      <c r="A8" s="52" t="s">
        <v>68</v>
      </c>
      <c r="B8" s="52" t="s">
        <v>67</v>
      </c>
      <c r="C8" s="52" t="s">
        <v>100</v>
      </c>
      <c r="D8" s="52" t="s">
        <v>101</v>
      </c>
      <c r="E8" s="52" t="s">
        <v>102</v>
      </c>
      <c r="F8" s="52" t="s">
        <v>103</v>
      </c>
    </row>
    <row r="9" customFormat="false" ht="15" hidden="false" customHeight="false" outlineLevel="0" collapsed="false">
      <c r="A9" s="9" t="s">
        <v>104</v>
      </c>
      <c r="B9" s="53" t="s">
        <v>32</v>
      </c>
      <c r="C9" s="54" t="n">
        <v>0.65</v>
      </c>
      <c r="D9" s="27" t="str">
        <f aca="false">IF(COUNT('Weekly Log'!B$2:B$60)=0,"",INDEX('Weekly Log'!B$2:B$60,COUNT('Weekly Log'!B$2:B$60)))</f>
        <v/>
      </c>
      <c r="E9" s="55" t="n">
        <f aca="false">IF(COUNT('Weekly Log'!$A$2:$A$60)=0,"",INDEX('Weekly Log'!$A$2:$A$60,COUNT('Weekly Log'!$A$2:$A$60)))</f>
        <v>46303</v>
      </c>
      <c r="F9" s="56" t="s">
        <v>105</v>
      </c>
    </row>
    <row r="10" customFormat="false" ht="15" hidden="false" customHeight="false" outlineLevel="0" collapsed="false">
      <c r="A10" s="9" t="s">
        <v>106</v>
      </c>
      <c r="B10" s="53" t="s">
        <v>34</v>
      </c>
      <c r="C10" s="54" t="n">
        <v>0.125</v>
      </c>
      <c r="D10" s="27" t="str">
        <f aca="false">IF(COUNT('Weekly Log'!C$2:C$60)=0,"",INDEX('Weekly Log'!C$2:C$60,COUNT('Weekly Log'!C$2:C$60)))</f>
        <v/>
      </c>
      <c r="E10" s="55" t="n">
        <f aca="false">IF(COUNT('Weekly Log'!$A$2:$A$60)=0,"",INDEX('Weekly Log'!$A$2:$A$60,COUNT('Weekly Log'!$A$2:$A$60)))</f>
        <v>46303</v>
      </c>
      <c r="F10" s="56" t="s">
        <v>107</v>
      </c>
    </row>
    <row r="11" customFormat="false" ht="15" hidden="false" customHeight="false" outlineLevel="0" collapsed="false">
      <c r="A11" s="9" t="s">
        <v>108</v>
      </c>
      <c r="B11" s="53" t="s">
        <v>36</v>
      </c>
      <c r="C11" s="54" t="n">
        <v>0.1125</v>
      </c>
      <c r="D11" s="27" t="str">
        <f aca="false">IF(COUNT('Weekly Log'!D$2:D$60)=0,"",INDEX('Weekly Log'!D$2:D$60,COUNT('Weekly Log'!D$2:D$60)))</f>
        <v/>
      </c>
      <c r="E11" s="55" t="n">
        <f aca="false">IF(COUNT('Weekly Log'!$A$2:$A$60)=0,"",INDEX('Weekly Log'!$A$2:$A$60,COUNT('Weekly Log'!$A$2:$A$60)))</f>
        <v>46303</v>
      </c>
      <c r="F11" s="56" t="s">
        <v>109</v>
      </c>
    </row>
    <row r="12" customFormat="false" ht="15" hidden="false" customHeight="false" outlineLevel="0" collapsed="false">
      <c r="A12" s="9" t="s">
        <v>110</v>
      </c>
      <c r="B12" s="53" t="s">
        <v>38</v>
      </c>
      <c r="C12" s="54" t="n">
        <v>0.1125</v>
      </c>
      <c r="D12" s="27" t="str">
        <f aca="false">IF(COUNT('Weekly Log'!E$2:E$60)=0,"",INDEX('Weekly Log'!E$2:E$60,COUNT('Weekly Log'!E$2:E$60)))</f>
        <v/>
      </c>
      <c r="E12" s="55" t="n">
        <f aca="false">IF(COUNT('Weekly Log'!$A$2:$A$60)=0,"",INDEX('Weekly Log'!$A$2:$A$60,COUNT('Weekly Log'!$A$2:$A$60)))</f>
        <v>46303</v>
      </c>
      <c r="F12" s="56" t="s">
        <v>111</v>
      </c>
    </row>
    <row r="13" customFormat="false" ht="15" hidden="false" customHeight="false" outlineLevel="0" collapsed="false">
      <c r="A13" s="37" t="s">
        <v>112</v>
      </c>
      <c r="C13" s="57" t="n">
        <f aca="false">SUM(C9:C12)</f>
        <v>1</v>
      </c>
      <c r="D13" s="58" t="str">
        <f aca="false">IF(ROUND(C13,4)=1,"OK","Targets must sum to 100%")</f>
        <v>OK</v>
      </c>
    </row>
    <row r="15" customFormat="false" ht="15" hidden="false" customHeight="false" outlineLevel="0" collapsed="false">
      <c r="A15" s="6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52" t="s">
        <v>114</v>
      </c>
      <c r="B1" s="52" t="s">
        <v>67</v>
      </c>
      <c r="C1" s="52" t="s">
        <v>68</v>
      </c>
      <c r="D1" s="52" t="s">
        <v>115</v>
      </c>
      <c r="E1" s="52" t="s">
        <v>116</v>
      </c>
      <c r="F1" s="52" t="s">
        <v>117</v>
      </c>
      <c r="G1" s="52" t="s">
        <v>118</v>
      </c>
      <c r="H1" s="52" t="s">
        <v>72</v>
      </c>
      <c r="I1" s="52" t="s">
        <v>119</v>
      </c>
    </row>
    <row r="2" customFormat="false" ht="15" hidden="false" customHeight="false" outlineLevel="0" collapsed="false">
      <c r="A2" s="59" t="n">
        <v>46303</v>
      </c>
      <c r="B2" s="60" t="s">
        <v>32</v>
      </c>
      <c r="C2" s="41" t="str">
        <f aca="false">IF(B2="","",IFERROR(INDEX(Setup!$A$9:$A$12,MATCH(B2,Setup!$B$9:$B$12,0)),"Ticker not in Setup"))</f>
        <v>US equity (S&amp;P 500)</v>
      </c>
      <c r="D2" s="49" t="n">
        <v>2600</v>
      </c>
      <c r="E2" s="39" t="n">
        <f aca="false">IF(D2="","",D2/Setup!$B$3)</f>
        <v>707.964601769912</v>
      </c>
      <c r="F2" s="39" t="n">
        <f aca="false">IF(E2="","",MAX(Setup!$B$5,Setup!$B$6*E2))</f>
        <v>1.76991150442478</v>
      </c>
      <c r="G2" s="61"/>
      <c r="H2" s="42" t="str">
        <f aca="false">IF(OR(G2="",E2=""),"",(E2-F2)/G2)</f>
        <v/>
      </c>
      <c r="I2" s="60"/>
    </row>
    <row r="3" customFormat="false" ht="15" hidden="false" customHeight="false" outlineLevel="0" collapsed="false">
      <c r="A3" s="59" t="n">
        <v>46303</v>
      </c>
      <c r="B3" s="60" t="s">
        <v>34</v>
      </c>
      <c r="C3" s="41" t="str">
        <f aca="false">IF(B3="","",IFERROR(INDEX(Setup!$A$9:$A$12,MATCH(B3,Setup!$B$9:$B$12,0)),"Ticker not in Setup"))</f>
        <v>Short-term Treasuries / TIPS</v>
      </c>
      <c r="D3" s="49" t="n">
        <v>500</v>
      </c>
      <c r="E3" s="39" t="n">
        <f aca="false">IF(D3="","",D3/Setup!$B$3)</f>
        <v>136.147038801906</v>
      </c>
      <c r="F3" s="39" t="n">
        <f aca="false">IF(E3="","",MAX(Setup!$B$5,Setup!$B$6*E3))</f>
        <v>1</v>
      </c>
      <c r="G3" s="61"/>
      <c r="H3" s="42" t="str">
        <f aca="false">IF(OR(G3="",E3=""),"",(E3-F3)/G3)</f>
        <v/>
      </c>
      <c r="I3" s="60"/>
    </row>
    <row r="4" customFormat="false" ht="15" hidden="false" customHeight="false" outlineLevel="0" collapsed="false">
      <c r="A4" s="59" t="n">
        <v>46303</v>
      </c>
      <c r="B4" s="60" t="s">
        <v>36</v>
      </c>
      <c r="C4" s="41" t="str">
        <f aca="false">IF(B4="","",IFERROR(INDEX(Setup!$A$9:$A$12,MATCH(B4,Setup!$B$9:$B$12,0)),"Ticker not in Setup"))</f>
        <v>Defense / aerospace</v>
      </c>
      <c r="D4" s="49" t="n">
        <v>450</v>
      </c>
      <c r="E4" s="39" t="n">
        <f aca="false">IF(D4="","",D4/Setup!$B$3)</f>
        <v>122.532334921715</v>
      </c>
      <c r="F4" s="39" t="n">
        <f aca="false">IF(E4="","",MAX(Setup!$B$5,Setup!$B$6*E4))</f>
        <v>1</v>
      </c>
      <c r="G4" s="61"/>
      <c r="H4" s="42" t="str">
        <f aca="false">IF(OR(G4="",E4=""),"",(E4-F4)/G4)</f>
        <v/>
      </c>
      <c r="I4" s="60"/>
    </row>
    <row r="5" customFormat="false" ht="15" hidden="false" customHeight="false" outlineLevel="0" collapsed="false">
      <c r="A5" s="59" t="n">
        <v>46303</v>
      </c>
      <c r="B5" s="60" t="s">
        <v>38</v>
      </c>
      <c r="C5" s="41" t="str">
        <f aca="false">IF(B5="","",IFERROR(INDEX(Setup!$A$9:$A$12,MATCH(B5,Setup!$B$9:$B$12,0)),"Ticker not in Setup"))</f>
        <v>Nuclear energy</v>
      </c>
      <c r="D5" s="49" t="n">
        <v>450</v>
      </c>
      <c r="E5" s="39" t="n">
        <f aca="false">IF(D5="","",D5/Setup!$B$3)</f>
        <v>122.532334921715</v>
      </c>
      <c r="F5" s="39" t="n">
        <f aca="false">IF(E5="","",MAX(Setup!$B$5,Setup!$B$6*E5))</f>
        <v>1</v>
      </c>
      <c r="G5" s="61"/>
      <c r="H5" s="42" t="str">
        <f aca="false">IF(OR(G5="",E5=""),"",(E5-F5)/G5)</f>
        <v/>
      </c>
      <c r="I5" s="60"/>
    </row>
    <row r="6" customFormat="false" ht="15" hidden="false" customHeight="false" outlineLevel="0" collapsed="false">
      <c r="A6" s="59"/>
      <c r="B6" s="60"/>
      <c r="C6" s="41" t="str">
        <f aca="false">IF(B6="","",IFERROR(INDEX(Setup!$A$9:$A$12,MATCH(B6,Setup!$B$9:$B$12,0)),"Ticker not in Setup"))</f>
        <v/>
      </c>
      <c r="D6" s="49"/>
      <c r="E6" s="39" t="str">
        <f aca="false">IF(D6="","",D6/Setup!$B$3)</f>
        <v/>
      </c>
      <c r="F6" s="39" t="str">
        <f aca="false">IF(E6="","",MAX(Setup!$B$5,Setup!$B$6*E6))</f>
        <v/>
      </c>
      <c r="G6" s="62"/>
      <c r="H6" s="42" t="str">
        <f aca="false">IF(OR(G6="",E6=""),"",(E6-F6)/G6)</f>
        <v/>
      </c>
      <c r="I6" s="60"/>
    </row>
    <row r="7" customFormat="false" ht="15" hidden="false" customHeight="false" outlineLevel="0" collapsed="false">
      <c r="A7" s="59"/>
      <c r="B7" s="60"/>
      <c r="C7" s="41" t="str">
        <f aca="false">IF(B7="","",IFERROR(INDEX(Setup!$A$9:$A$12,MATCH(B7,Setup!$B$9:$B$12,0)),"Ticker not in Setup"))</f>
        <v/>
      </c>
      <c r="D7" s="49"/>
      <c r="E7" s="39" t="str">
        <f aca="false">IF(D7="","",D7/Setup!$B$3)</f>
        <v/>
      </c>
      <c r="F7" s="39" t="str">
        <f aca="false">IF(E7="","",MAX(Setup!$B$5,Setup!$B$6*E7))</f>
        <v/>
      </c>
      <c r="G7" s="62"/>
      <c r="H7" s="42" t="str">
        <f aca="false">IF(OR(G7="",E7=""),"",(E7-F7)/G7)</f>
        <v/>
      </c>
      <c r="I7" s="60"/>
    </row>
    <row r="8" customFormat="false" ht="15" hidden="false" customHeight="false" outlineLevel="0" collapsed="false">
      <c r="A8" s="59"/>
      <c r="B8" s="60"/>
      <c r="C8" s="41" t="str">
        <f aca="false">IF(B8="","",IFERROR(INDEX(Setup!$A$9:$A$12,MATCH(B8,Setup!$B$9:$B$12,0)),"Ticker not in Setup"))</f>
        <v/>
      </c>
      <c r="D8" s="49"/>
      <c r="E8" s="39" t="str">
        <f aca="false">IF(D8="","",D8/Setup!$B$3)</f>
        <v/>
      </c>
      <c r="F8" s="39" t="str">
        <f aca="false">IF(E8="","",MAX(Setup!$B$5,Setup!$B$6*E8))</f>
        <v/>
      </c>
      <c r="G8" s="62"/>
      <c r="H8" s="42" t="str">
        <f aca="false">IF(OR(G8="",E8=""),"",(E8-F8)/G8)</f>
        <v/>
      </c>
      <c r="I8" s="60"/>
    </row>
    <row r="9" customFormat="false" ht="15" hidden="false" customHeight="false" outlineLevel="0" collapsed="false">
      <c r="A9" s="59"/>
      <c r="B9" s="60"/>
      <c r="C9" s="41" t="str">
        <f aca="false">IF(B9="","",IFERROR(INDEX(Setup!$A$9:$A$12,MATCH(B9,Setup!$B$9:$B$12,0)),"Ticker not in Setup"))</f>
        <v/>
      </c>
      <c r="D9" s="49"/>
      <c r="E9" s="39" t="str">
        <f aca="false">IF(D9="","",D9/Setup!$B$3)</f>
        <v/>
      </c>
      <c r="F9" s="39" t="str">
        <f aca="false">IF(E9="","",MAX(Setup!$B$5,Setup!$B$6*E9))</f>
        <v/>
      </c>
      <c r="G9" s="62"/>
      <c r="H9" s="42" t="str">
        <f aca="false">IF(OR(G9="",E9=""),"",(E9-F9)/G9)</f>
        <v/>
      </c>
      <c r="I9" s="60"/>
    </row>
    <row r="10" customFormat="false" ht="15" hidden="false" customHeight="false" outlineLevel="0" collapsed="false">
      <c r="A10" s="59"/>
      <c r="B10" s="60"/>
      <c r="C10" s="41" t="str">
        <f aca="false">IF(B10="","",IFERROR(INDEX(Setup!$A$9:$A$12,MATCH(B10,Setup!$B$9:$B$12,0)),"Ticker not in Setup"))</f>
        <v/>
      </c>
      <c r="D10" s="49"/>
      <c r="E10" s="39" t="str">
        <f aca="false">IF(D10="","",D10/Setup!$B$3)</f>
        <v/>
      </c>
      <c r="F10" s="39" t="str">
        <f aca="false">IF(E10="","",MAX(Setup!$B$5,Setup!$B$6*E10))</f>
        <v/>
      </c>
      <c r="G10" s="62"/>
      <c r="H10" s="42" t="str">
        <f aca="false">IF(OR(G10="",E10=""),"",(E10-F10)/G10)</f>
        <v/>
      </c>
      <c r="I10" s="60"/>
    </row>
    <row r="11" customFormat="false" ht="15" hidden="false" customHeight="false" outlineLevel="0" collapsed="false">
      <c r="A11" s="59"/>
      <c r="B11" s="60"/>
      <c r="C11" s="41" t="str">
        <f aca="false">IF(B11="","",IFERROR(INDEX(Setup!$A$9:$A$12,MATCH(B11,Setup!$B$9:$B$12,0)),"Ticker not in Setup"))</f>
        <v/>
      </c>
      <c r="D11" s="49"/>
      <c r="E11" s="39" t="str">
        <f aca="false">IF(D11="","",D11/Setup!$B$3)</f>
        <v/>
      </c>
      <c r="F11" s="39" t="str">
        <f aca="false">IF(E11="","",MAX(Setup!$B$5,Setup!$B$6*E11))</f>
        <v/>
      </c>
      <c r="G11" s="62"/>
      <c r="H11" s="42" t="str">
        <f aca="false">IF(OR(G11="",E11=""),"",(E11-F11)/G11)</f>
        <v/>
      </c>
      <c r="I11" s="60"/>
    </row>
    <row r="12" customFormat="false" ht="15" hidden="false" customHeight="false" outlineLevel="0" collapsed="false">
      <c r="A12" s="59"/>
      <c r="B12" s="60"/>
      <c r="C12" s="41" t="str">
        <f aca="false">IF(B12="","",IFERROR(INDEX(Setup!$A$9:$A$12,MATCH(B12,Setup!$B$9:$B$12,0)),"Ticker not in Setup"))</f>
        <v/>
      </c>
      <c r="D12" s="49"/>
      <c r="E12" s="39" t="str">
        <f aca="false">IF(D12="","",D12/Setup!$B$3)</f>
        <v/>
      </c>
      <c r="F12" s="39" t="str">
        <f aca="false">IF(E12="","",MAX(Setup!$B$5,Setup!$B$6*E12))</f>
        <v/>
      </c>
      <c r="G12" s="62"/>
      <c r="H12" s="42" t="str">
        <f aca="false">IF(OR(G12="",E12=""),"",(E12-F12)/G12)</f>
        <v/>
      </c>
      <c r="I12" s="60"/>
    </row>
    <row r="13" customFormat="false" ht="15" hidden="false" customHeight="false" outlineLevel="0" collapsed="false">
      <c r="A13" s="59"/>
      <c r="B13" s="60"/>
      <c r="C13" s="41" t="str">
        <f aca="false">IF(B13="","",IFERROR(INDEX(Setup!$A$9:$A$12,MATCH(B13,Setup!$B$9:$B$12,0)),"Ticker not in Setup"))</f>
        <v/>
      </c>
      <c r="D13" s="49"/>
      <c r="E13" s="39" t="str">
        <f aca="false">IF(D13="","",D13/Setup!$B$3)</f>
        <v/>
      </c>
      <c r="F13" s="39" t="str">
        <f aca="false">IF(E13="","",MAX(Setup!$B$5,Setup!$B$6*E13))</f>
        <v/>
      </c>
      <c r="G13" s="62"/>
      <c r="H13" s="42" t="str">
        <f aca="false">IF(OR(G13="",E13=""),"",(E13-F13)/G13)</f>
        <v/>
      </c>
      <c r="I13" s="60"/>
    </row>
    <row r="14" customFormat="false" ht="15" hidden="false" customHeight="false" outlineLevel="0" collapsed="false">
      <c r="A14" s="59"/>
      <c r="B14" s="60"/>
      <c r="C14" s="41" t="str">
        <f aca="false">IF(B14="","",IFERROR(INDEX(Setup!$A$9:$A$12,MATCH(B14,Setup!$B$9:$B$12,0)),"Ticker not in Setup"))</f>
        <v/>
      </c>
      <c r="D14" s="49"/>
      <c r="E14" s="39" t="str">
        <f aca="false">IF(D14="","",D14/Setup!$B$3)</f>
        <v/>
      </c>
      <c r="F14" s="39" t="str">
        <f aca="false">IF(E14="","",MAX(Setup!$B$5,Setup!$B$6*E14))</f>
        <v/>
      </c>
      <c r="G14" s="62"/>
      <c r="H14" s="42" t="str">
        <f aca="false">IF(OR(G14="",E14=""),"",(E14-F14)/G14)</f>
        <v/>
      </c>
      <c r="I14" s="60"/>
    </row>
    <row r="15" customFormat="false" ht="15" hidden="false" customHeight="false" outlineLevel="0" collapsed="false">
      <c r="A15" s="59"/>
      <c r="B15" s="60"/>
      <c r="C15" s="41" t="str">
        <f aca="false">IF(B15="","",IFERROR(INDEX(Setup!$A$9:$A$12,MATCH(B15,Setup!$B$9:$B$12,0)),"Ticker not in Setup"))</f>
        <v/>
      </c>
      <c r="D15" s="49"/>
      <c r="E15" s="39" t="str">
        <f aca="false">IF(D15="","",D15/Setup!$B$3)</f>
        <v/>
      </c>
      <c r="F15" s="39" t="str">
        <f aca="false">IF(E15="","",MAX(Setup!$B$5,Setup!$B$6*E15))</f>
        <v/>
      </c>
      <c r="G15" s="62"/>
      <c r="H15" s="42" t="str">
        <f aca="false">IF(OR(G15="",E15=""),"",(E15-F15)/G15)</f>
        <v/>
      </c>
      <c r="I15" s="60"/>
    </row>
    <row r="16" customFormat="false" ht="15" hidden="false" customHeight="false" outlineLevel="0" collapsed="false">
      <c r="A16" s="59"/>
      <c r="B16" s="60"/>
      <c r="C16" s="41" t="str">
        <f aca="false">IF(B16="","",IFERROR(INDEX(Setup!$A$9:$A$12,MATCH(B16,Setup!$B$9:$B$12,0)),"Ticker not in Setup"))</f>
        <v/>
      </c>
      <c r="D16" s="49"/>
      <c r="E16" s="39" t="str">
        <f aca="false">IF(D16="","",D16/Setup!$B$3)</f>
        <v/>
      </c>
      <c r="F16" s="39" t="str">
        <f aca="false">IF(E16="","",MAX(Setup!$B$5,Setup!$B$6*E16))</f>
        <v/>
      </c>
      <c r="G16" s="62"/>
      <c r="H16" s="42" t="str">
        <f aca="false">IF(OR(G16="",E16=""),"",(E16-F16)/G16)</f>
        <v/>
      </c>
      <c r="I16" s="60"/>
    </row>
    <row r="17" customFormat="false" ht="15" hidden="false" customHeight="false" outlineLevel="0" collapsed="false">
      <c r="A17" s="59"/>
      <c r="B17" s="60"/>
      <c r="C17" s="41" t="str">
        <f aca="false">IF(B17="","",IFERROR(INDEX(Setup!$A$9:$A$12,MATCH(B17,Setup!$B$9:$B$12,0)),"Ticker not in Setup"))</f>
        <v/>
      </c>
      <c r="D17" s="49"/>
      <c r="E17" s="39" t="str">
        <f aca="false">IF(D17="","",D17/Setup!$B$3)</f>
        <v/>
      </c>
      <c r="F17" s="39" t="str">
        <f aca="false">IF(E17="","",MAX(Setup!$B$5,Setup!$B$6*E17))</f>
        <v/>
      </c>
      <c r="G17" s="62"/>
      <c r="H17" s="42" t="str">
        <f aca="false">IF(OR(G17="",E17=""),"",(E17-F17)/G17)</f>
        <v/>
      </c>
      <c r="I17" s="60"/>
    </row>
    <row r="18" customFormat="false" ht="15" hidden="false" customHeight="false" outlineLevel="0" collapsed="false">
      <c r="A18" s="59"/>
      <c r="B18" s="60"/>
      <c r="C18" s="41" t="str">
        <f aca="false">IF(B18="","",IFERROR(INDEX(Setup!$A$9:$A$12,MATCH(B18,Setup!$B$9:$B$12,0)),"Ticker not in Setup"))</f>
        <v/>
      </c>
      <c r="D18" s="49"/>
      <c r="E18" s="39" t="str">
        <f aca="false">IF(D18="","",D18/Setup!$B$3)</f>
        <v/>
      </c>
      <c r="F18" s="39" t="str">
        <f aca="false">IF(E18="","",MAX(Setup!$B$5,Setup!$B$6*E18))</f>
        <v/>
      </c>
      <c r="G18" s="62"/>
      <c r="H18" s="42" t="str">
        <f aca="false">IF(OR(G18="",E18=""),"",(E18-F18)/G18)</f>
        <v/>
      </c>
      <c r="I18" s="60"/>
    </row>
    <row r="19" customFormat="false" ht="15" hidden="false" customHeight="false" outlineLevel="0" collapsed="false">
      <c r="A19" s="59"/>
      <c r="B19" s="60"/>
      <c r="C19" s="41" t="str">
        <f aca="false">IF(B19="","",IFERROR(INDEX(Setup!$A$9:$A$12,MATCH(B19,Setup!$B$9:$B$12,0)),"Ticker not in Setup"))</f>
        <v/>
      </c>
      <c r="D19" s="49"/>
      <c r="E19" s="39" t="str">
        <f aca="false">IF(D19="","",D19/Setup!$B$3)</f>
        <v/>
      </c>
      <c r="F19" s="39" t="str">
        <f aca="false">IF(E19="","",MAX(Setup!$B$5,Setup!$B$6*E19))</f>
        <v/>
      </c>
      <c r="G19" s="62"/>
      <c r="H19" s="42" t="str">
        <f aca="false">IF(OR(G19="",E19=""),"",(E19-F19)/G19)</f>
        <v/>
      </c>
      <c r="I19" s="60"/>
    </row>
    <row r="20" customFormat="false" ht="15" hidden="false" customHeight="false" outlineLevel="0" collapsed="false">
      <c r="A20" s="59"/>
      <c r="B20" s="60"/>
      <c r="C20" s="41" t="str">
        <f aca="false">IF(B20="","",IFERROR(INDEX(Setup!$A$9:$A$12,MATCH(B20,Setup!$B$9:$B$12,0)),"Ticker not in Setup"))</f>
        <v/>
      </c>
      <c r="D20" s="49"/>
      <c r="E20" s="39" t="str">
        <f aca="false">IF(D20="","",D20/Setup!$B$3)</f>
        <v/>
      </c>
      <c r="F20" s="39" t="str">
        <f aca="false">IF(E20="","",MAX(Setup!$B$5,Setup!$B$6*E20))</f>
        <v/>
      </c>
      <c r="G20" s="62"/>
      <c r="H20" s="42" t="str">
        <f aca="false">IF(OR(G20="",E20=""),"",(E20-F20)/G20)</f>
        <v/>
      </c>
      <c r="I20" s="60"/>
    </row>
    <row r="21" customFormat="false" ht="15" hidden="false" customHeight="false" outlineLevel="0" collapsed="false">
      <c r="A21" s="59"/>
      <c r="B21" s="60"/>
      <c r="C21" s="41" t="str">
        <f aca="false">IF(B21="","",IFERROR(INDEX(Setup!$A$9:$A$12,MATCH(B21,Setup!$B$9:$B$12,0)),"Ticker not in Setup"))</f>
        <v/>
      </c>
      <c r="D21" s="49"/>
      <c r="E21" s="39" t="str">
        <f aca="false">IF(D21="","",D21/Setup!$B$3)</f>
        <v/>
      </c>
      <c r="F21" s="39" t="str">
        <f aca="false">IF(E21="","",MAX(Setup!$B$5,Setup!$B$6*E21))</f>
        <v/>
      </c>
      <c r="G21" s="62"/>
      <c r="H21" s="42" t="str">
        <f aca="false">IF(OR(G21="",E21=""),"",(E21-F21)/G21)</f>
        <v/>
      </c>
      <c r="I21" s="60"/>
    </row>
    <row r="22" customFormat="false" ht="15" hidden="false" customHeight="false" outlineLevel="0" collapsed="false">
      <c r="A22" s="59"/>
      <c r="B22" s="60"/>
      <c r="C22" s="41" t="str">
        <f aca="false">IF(B22="","",IFERROR(INDEX(Setup!$A$9:$A$12,MATCH(B22,Setup!$B$9:$B$12,0)),"Ticker not in Setup"))</f>
        <v/>
      </c>
      <c r="D22" s="49"/>
      <c r="E22" s="39" t="str">
        <f aca="false">IF(D22="","",D22/Setup!$B$3)</f>
        <v/>
      </c>
      <c r="F22" s="39" t="str">
        <f aca="false">IF(E22="","",MAX(Setup!$B$5,Setup!$B$6*E22))</f>
        <v/>
      </c>
      <c r="G22" s="62"/>
      <c r="H22" s="42" t="str">
        <f aca="false">IF(OR(G22="",E22=""),"",(E22-F22)/G22)</f>
        <v/>
      </c>
      <c r="I22" s="60"/>
    </row>
    <row r="23" customFormat="false" ht="15" hidden="false" customHeight="false" outlineLevel="0" collapsed="false">
      <c r="A23" s="59"/>
      <c r="B23" s="60"/>
      <c r="C23" s="41" t="str">
        <f aca="false">IF(B23="","",IFERROR(INDEX(Setup!$A$9:$A$12,MATCH(B23,Setup!$B$9:$B$12,0)),"Ticker not in Setup"))</f>
        <v/>
      </c>
      <c r="D23" s="49"/>
      <c r="E23" s="39" t="str">
        <f aca="false">IF(D23="","",D23/Setup!$B$3)</f>
        <v/>
      </c>
      <c r="F23" s="39" t="str">
        <f aca="false">IF(E23="","",MAX(Setup!$B$5,Setup!$B$6*E23))</f>
        <v/>
      </c>
      <c r="G23" s="62"/>
      <c r="H23" s="42" t="str">
        <f aca="false">IF(OR(G23="",E23=""),"",(E23-F23)/G23)</f>
        <v/>
      </c>
      <c r="I23" s="60"/>
    </row>
    <row r="24" customFormat="false" ht="15" hidden="false" customHeight="false" outlineLevel="0" collapsed="false">
      <c r="A24" s="59"/>
      <c r="B24" s="60"/>
      <c r="C24" s="41" t="str">
        <f aca="false">IF(B24="","",IFERROR(INDEX(Setup!$A$9:$A$12,MATCH(B24,Setup!$B$9:$B$12,0)),"Ticker not in Setup"))</f>
        <v/>
      </c>
      <c r="D24" s="49"/>
      <c r="E24" s="39" t="str">
        <f aca="false">IF(D24="","",D24/Setup!$B$3)</f>
        <v/>
      </c>
      <c r="F24" s="39" t="str">
        <f aca="false">IF(E24="","",MAX(Setup!$B$5,Setup!$B$6*E24))</f>
        <v/>
      </c>
      <c r="G24" s="62"/>
      <c r="H24" s="42" t="str">
        <f aca="false">IF(OR(G24="",E24=""),"",(E24-F24)/G24)</f>
        <v/>
      </c>
      <c r="I24" s="60"/>
    </row>
    <row r="25" customFormat="false" ht="15" hidden="false" customHeight="false" outlineLevel="0" collapsed="false">
      <c r="A25" s="59"/>
      <c r="B25" s="60"/>
      <c r="C25" s="41" t="str">
        <f aca="false">IF(B25="","",IFERROR(INDEX(Setup!$A$9:$A$12,MATCH(B25,Setup!$B$9:$B$12,0)),"Ticker not in Setup"))</f>
        <v/>
      </c>
      <c r="D25" s="49"/>
      <c r="E25" s="39" t="str">
        <f aca="false">IF(D25="","",D25/Setup!$B$3)</f>
        <v/>
      </c>
      <c r="F25" s="39" t="str">
        <f aca="false">IF(E25="","",MAX(Setup!$B$5,Setup!$B$6*E25))</f>
        <v/>
      </c>
      <c r="G25" s="62"/>
      <c r="H25" s="42" t="str">
        <f aca="false">IF(OR(G25="",E25=""),"",(E25-F25)/G25)</f>
        <v/>
      </c>
      <c r="I25" s="60"/>
    </row>
    <row r="26" customFormat="false" ht="15" hidden="false" customHeight="false" outlineLevel="0" collapsed="false">
      <c r="A26" s="59"/>
      <c r="B26" s="60"/>
      <c r="C26" s="41" t="str">
        <f aca="false">IF(B26="","",IFERROR(INDEX(Setup!$A$9:$A$12,MATCH(B26,Setup!$B$9:$B$12,0)),"Ticker not in Setup"))</f>
        <v/>
      </c>
      <c r="D26" s="49"/>
      <c r="E26" s="39" t="str">
        <f aca="false">IF(D26="","",D26/Setup!$B$3)</f>
        <v/>
      </c>
      <c r="F26" s="39" t="str">
        <f aca="false">IF(E26="","",MAX(Setup!$B$5,Setup!$B$6*E26))</f>
        <v/>
      </c>
      <c r="G26" s="62"/>
      <c r="H26" s="42" t="str">
        <f aca="false">IF(OR(G26="",E26=""),"",(E26-F26)/G26)</f>
        <v/>
      </c>
      <c r="I26" s="60"/>
    </row>
    <row r="27" customFormat="false" ht="15" hidden="false" customHeight="false" outlineLevel="0" collapsed="false">
      <c r="A27" s="59"/>
      <c r="B27" s="60"/>
      <c r="C27" s="41" t="str">
        <f aca="false">IF(B27="","",IFERROR(INDEX(Setup!$A$9:$A$12,MATCH(B27,Setup!$B$9:$B$12,0)),"Ticker not in Setup"))</f>
        <v/>
      </c>
      <c r="D27" s="49"/>
      <c r="E27" s="39" t="str">
        <f aca="false">IF(D27="","",D27/Setup!$B$3)</f>
        <v/>
      </c>
      <c r="F27" s="39" t="str">
        <f aca="false">IF(E27="","",MAX(Setup!$B$5,Setup!$B$6*E27))</f>
        <v/>
      </c>
      <c r="G27" s="62"/>
      <c r="H27" s="42" t="str">
        <f aca="false">IF(OR(G27="",E27=""),"",(E27-F27)/G27)</f>
        <v/>
      </c>
      <c r="I27" s="60"/>
    </row>
    <row r="28" customFormat="false" ht="15" hidden="false" customHeight="false" outlineLevel="0" collapsed="false">
      <c r="A28" s="59"/>
      <c r="B28" s="60"/>
      <c r="C28" s="41" t="str">
        <f aca="false">IF(B28="","",IFERROR(INDEX(Setup!$A$9:$A$12,MATCH(B28,Setup!$B$9:$B$12,0)),"Ticker not in Setup"))</f>
        <v/>
      </c>
      <c r="D28" s="49"/>
      <c r="E28" s="39" t="str">
        <f aca="false">IF(D28="","",D28/Setup!$B$3)</f>
        <v/>
      </c>
      <c r="F28" s="39" t="str">
        <f aca="false">IF(E28="","",MAX(Setup!$B$5,Setup!$B$6*E28))</f>
        <v/>
      </c>
      <c r="G28" s="62"/>
      <c r="H28" s="42" t="str">
        <f aca="false">IF(OR(G28="",E28=""),"",(E28-F28)/G28)</f>
        <v/>
      </c>
      <c r="I28" s="60"/>
    </row>
    <row r="29" customFormat="false" ht="15" hidden="false" customHeight="false" outlineLevel="0" collapsed="false">
      <c r="A29" s="59"/>
      <c r="B29" s="60"/>
      <c r="C29" s="41" t="str">
        <f aca="false">IF(B29="","",IFERROR(INDEX(Setup!$A$9:$A$12,MATCH(B29,Setup!$B$9:$B$12,0)),"Ticker not in Setup"))</f>
        <v/>
      </c>
      <c r="D29" s="49"/>
      <c r="E29" s="39" t="str">
        <f aca="false">IF(D29="","",D29/Setup!$B$3)</f>
        <v/>
      </c>
      <c r="F29" s="39" t="str">
        <f aca="false">IF(E29="","",MAX(Setup!$B$5,Setup!$B$6*E29))</f>
        <v/>
      </c>
      <c r="G29" s="62"/>
      <c r="H29" s="42" t="str">
        <f aca="false">IF(OR(G29="",E29=""),"",(E29-F29)/G29)</f>
        <v/>
      </c>
      <c r="I29" s="60"/>
    </row>
    <row r="30" customFormat="false" ht="15" hidden="false" customHeight="false" outlineLevel="0" collapsed="false">
      <c r="A30" s="59"/>
      <c r="B30" s="60"/>
      <c r="C30" s="41" t="str">
        <f aca="false">IF(B30="","",IFERROR(INDEX(Setup!$A$9:$A$12,MATCH(B30,Setup!$B$9:$B$12,0)),"Ticker not in Setup"))</f>
        <v/>
      </c>
      <c r="D30" s="49"/>
      <c r="E30" s="39" t="str">
        <f aca="false">IF(D30="","",D30/Setup!$B$3)</f>
        <v/>
      </c>
      <c r="F30" s="39" t="str">
        <f aca="false">IF(E30="","",MAX(Setup!$B$5,Setup!$B$6*E30))</f>
        <v/>
      </c>
      <c r="G30" s="62"/>
      <c r="H30" s="42" t="str">
        <f aca="false">IF(OR(G30="",E30=""),"",(E30-F30)/G30)</f>
        <v/>
      </c>
      <c r="I30" s="60"/>
    </row>
    <row r="31" customFormat="false" ht="15" hidden="false" customHeight="false" outlineLevel="0" collapsed="false">
      <c r="A31" s="59"/>
      <c r="B31" s="60"/>
      <c r="C31" s="41" t="str">
        <f aca="false">IF(B31="","",IFERROR(INDEX(Setup!$A$9:$A$12,MATCH(B31,Setup!$B$9:$B$12,0)),"Ticker not in Setup"))</f>
        <v/>
      </c>
      <c r="D31" s="49"/>
      <c r="E31" s="39" t="str">
        <f aca="false">IF(D31="","",D31/Setup!$B$3)</f>
        <v/>
      </c>
      <c r="F31" s="39" t="str">
        <f aca="false">IF(E31="","",MAX(Setup!$B$5,Setup!$B$6*E31))</f>
        <v/>
      </c>
      <c r="G31" s="62"/>
      <c r="H31" s="42" t="str">
        <f aca="false">IF(OR(G31="",E31=""),"",(E31-F31)/G31)</f>
        <v/>
      </c>
      <c r="I31" s="60"/>
    </row>
    <row r="32" customFormat="false" ht="15" hidden="false" customHeight="false" outlineLevel="0" collapsed="false">
      <c r="A32" s="59"/>
      <c r="B32" s="60"/>
      <c r="C32" s="41" t="str">
        <f aca="false">IF(B32="","",IFERROR(INDEX(Setup!$A$9:$A$12,MATCH(B32,Setup!$B$9:$B$12,0)),"Ticker not in Setup"))</f>
        <v/>
      </c>
      <c r="D32" s="49"/>
      <c r="E32" s="39" t="str">
        <f aca="false">IF(D32="","",D32/Setup!$B$3)</f>
        <v/>
      </c>
      <c r="F32" s="39" t="str">
        <f aca="false">IF(E32="","",MAX(Setup!$B$5,Setup!$B$6*E32))</f>
        <v/>
      </c>
      <c r="G32" s="62"/>
      <c r="H32" s="42" t="str">
        <f aca="false">IF(OR(G32="",E32=""),"",(E32-F32)/G32)</f>
        <v/>
      </c>
      <c r="I32" s="60"/>
    </row>
    <row r="33" customFormat="false" ht="15" hidden="false" customHeight="false" outlineLevel="0" collapsed="false">
      <c r="A33" s="59"/>
      <c r="B33" s="60"/>
      <c r="C33" s="41" t="str">
        <f aca="false">IF(B33="","",IFERROR(INDEX(Setup!$A$9:$A$12,MATCH(B33,Setup!$B$9:$B$12,0)),"Ticker not in Setup"))</f>
        <v/>
      </c>
      <c r="D33" s="49"/>
      <c r="E33" s="39" t="str">
        <f aca="false">IF(D33="","",D33/Setup!$B$3)</f>
        <v/>
      </c>
      <c r="F33" s="39" t="str">
        <f aca="false">IF(E33="","",MAX(Setup!$B$5,Setup!$B$6*E33))</f>
        <v/>
      </c>
      <c r="G33" s="62"/>
      <c r="H33" s="42" t="str">
        <f aca="false">IF(OR(G33="",E33=""),"",(E33-F33)/G33)</f>
        <v/>
      </c>
      <c r="I33" s="60"/>
    </row>
    <row r="34" customFormat="false" ht="15" hidden="false" customHeight="false" outlineLevel="0" collapsed="false">
      <c r="A34" s="59"/>
      <c r="B34" s="60"/>
      <c r="C34" s="41" t="str">
        <f aca="false">IF(B34="","",IFERROR(INDEX(Setup!$A$9:$A$12,MATCH(B34,Setup!$B$9:$B$12,0)),"Ticker not in Setup"))</f>
        <v/>
      </c>
      <c r="D34" s="49"/>
      <c r="E34" s="39" t="str">
        <f aca="false">IF(D34="","",D34/Setup!$B$3)</f>
        <v/>
      </c>
      <c r="F34" s="39" t="str">
        <f aca="false">IF(E34="","",MAX(Setup!$B$5,Setup!$B$6*E34))</f>
        <v/>
      </c>
      <c r="G34" s="62"/>
      <c r="H34" s="42" t="str">
        <f aca="false">IF(OR(G34="",E34=""),"",(E34-F34)/G34)</f>
        <v/>
      </c>
      <c r="I34" s="60"/>
    </row>
    <row r="35" customFormat="false" ht="15" hidden="false" customHeight="false" outlineLevel="0" collapsed="false">
      <c r="A35" s="59"/>
      <c r="B35" s="60"/>
      <c r="C35" s="41" t="str">
        <f aca="false">IF(B35="","",IFERROR(INDEX(Setup!$A$9:$A$12,MATCH(B35,Setup!$B$9:$B$12,0)),"Ticker not in Setup"))</f>
        <v/>
      </c>
      <c r="D35" s="49"/>
      <c r="E35" s="39" t="str">
        <f aca="false">IF(D35="","",D35/Setup!$B$3)</f>
        <v/>
      </c>
      <c r="F35" s="39" t="str">
        <f aca="false">IF(E35="","",MAX(Setup!$B$5,Setup!$B$6*E35))</f>
        <v/>
      </c>
      <c r="G35" s="62"/>
      <c r="H35" s="42" t="str">
        <f aca="false">IF(OR(G35="",E35=""),"",(E35-F35)/G35)</f>
        <v/>
      </c>
      <c r="I35" s="60"/>
    </row>
    <row r="36" customFormat="false" ht="15" hidden="false" customHeight="false" outlineLevel="0" collapsed="false">
      <c r="A36" s="59"/>
      <c r="B36" s="60"/>
      <c r="C36" s="41" t="str">
        <f aca="false">IF(B36="","",IFERROR(INDEX(Setup!$A$9:$A$12,MATCH(B36,Setup!$B$9:$B$12,0)),"Ticker not in Setup"))</f>
        <v/>
      </c>
      <c r="D36" s="49"/>
      <c r="E36" s="39" t="str">
        <f aca="false">IF(D36="","",D36/Setup!$B$3)</f>
        <v/>
      </c>
      <c r="F36" s="39" t="str">
        <f aca="false">IF(E36="","",MAX(Setup!$B$5,Setup!$B$6*E36))</f>
        <v/>
      </c>
      <c r="G36" s="62"/>
      <c r="H36" s="42" t="str">
        <f aca="false">IF(OR(G36="",E36=""),"",(E36-F36)/G36)</f>
        <v/>
      </c>
      <c r="I36" s="60"/>
    </row>
    <row r="37" customFormat="false" ht="15" hidden="false" customHeight="false" outlineLevel="0" collapsed="false">
      <c r="A37" s="59"/>
      <c r="B37" s="60"/>
      <c r="C37" s="41" t="str">
        <f aca="false">IF(B37="","",IFERROR(INDEX(Setup!$A$9:$A$12,MATCH(B37,Setup!$B$9:$B$12,0)),"Ticker not in Setup"))</f>
        <v/>
      </c>
      <c r="D37" s="49"/>
      <c r="E37" s="39" t="str">
        <f aca="false">IF(D37="","",D37/Setup!$B$3)</f>
        <v/>
      </c>
      <c r="F37" s="39" t="str">
        <f aca="false">IF(E37="","",MAX(Setup!$B$5,Setup!$B$6*E37))</f>
        <v/>
      </c>
      <c r="G37" s="62"/>
      <c r="H37" s="42" t="str">
        <f aca="false">IF(OR(G37="",E37=""),"",(E37-F37)/G37)</f>
        <v/>
      </c>
      <c r="I37" s="60"/>
    </row>
    <row r="38" customFormat="false" ht="15" hidden="false" customHeight="false" outlineLevel="0" collapsed="false">
      <c r="A38" s="59"/>
      <c r="B38" s="60"/>
      <c r="C38" s="41" t="str">
        <f aca="false">IF(B38="","",IFERROR(INDEX(Setup!$A$9:$A$12,MATCH(B38,Setup!$B$9:$B$12,0)),"Ticker not in Setup"))</f>
        <v/>
      </c>
      <c r="D38" s="49"/>
      <c r="E38" s="39" t="str">
        <f aca="false">IF(D38="","",D38/Setup!$B$3)</f>
        <v/>
      </c>
      <c r="F38" s="39" t="str">
        <f aca="false">IF(E38="","",MAX(Setup!$B$5,Setup!$B$6*E38))</f>
        <v/>
      </c>
      <c r="G38" s="62"/>
      <c r="H38" s="42" t="str">
        <f aca="false">IF(OR(G38="",E38=""),"",(E38-F38)/G38)</f>
        <v/>
      </c>
      <c r="I38" s="60"/>
    </row>
    <row r="39" customFormat="false" ht="15" hidden="false" customHeight="false" outlineLevel="0" collapsed="false">
      <c r="A39" s="59"/>
      <c r="B39" s="60"/>
      <c r="C39" s="41" t="str">
        <f aca="false">IF(B39="","",IFERROR(INDEX(Setup!$A$9:$A$12,MATCH(B39,Setup!$B$9:$B$12,0)),"Ticker not in Setup"))</f>
        <v/>
      </c>
      <c r="D39" s="49"/>
      <c r="E39" s="39" t="str">
        <f aca="false">IF(D39="","",D39/Setup!$B$3)</f>
        <v/>
      </c>
      <c r="F39" s="39" t="str">
        <f aca="false">IF(E39="","",MAX(Setup!$B$5,Setup!$B$6*E39))</f>
        <v/>
      </c>
      <c r="G39" s="62"/>
      <c r="H39" s="42" t="str">
        <f aca="false">IF(OR(G39="",E39=""),"",(E39-F39)/G39)</f>
        <v/>
      </c>
      <c r="I39" s="60"/>
    </row>
    <row r="40" customFormat="false" ht="15" hidden="false" customHeight="false" outlineLevel="0" collapsed="false">
      <c r="A40" s="59"/>
      <c r="B40" s="60"/>
      <c r="C40" s="41" t="str">
        <f aca="false">IF(B40="","",IFERROR(INDEX(Setup!$A$9:$A$12,MATCH(B40,Setup!$B$9:$B$12,0)),"Ticker not in Setup"))</f>
        <v/>
      </c>
      <c r="D40" s="49"/>
      <c r="E40" s="39" t="str">
        <f aca="false">IF(D40="","",D40/Setup!$B$3)</f>
        <v/>
      </c>
      <c r="F40" s="39" t="str">
        <f aca="false">IF(E40="","",MAX(Setup!$B$5,Setup!$B$6*E40))</f>
        <v/>
      </c>
      <c r="G40" s="62"/>
      <c r="H40" s="42" t="str">
        <f aca="false">IF(OR(G40="",E40=""),"",(E40-F40)/G40)</f>
        <v/>
      </c>
      <c r="I40" s="60"/>
    </row>
    <row r="41" customFormat="false" ht="15" hidden="false" customHeight="false" outlineLevel="0" collapsed="false">
      <c r="A41" s="59"/>
      <c r="B41" s="60"/>
      <c r="C41" s="41" t="str">
        <f aca="false">IF(B41="","",IFERROR(INDEX(Setup!$A$9:$A$12,MATCH(B41,Setup!$B$9:$B$12,0)),"Ticker not in Setup"))</f>
        <v/>
      </c>
      <c r="D41" s="49"/>
      <c r="E41" s="39" t="str">
        <f aca="false">IF(D41="","",D41/Setup!$B$3)</f>
        <v/>
      </c>
      <c r="F41" s="39" t="str">
        <f aca="false">IF(E41="","",MAX(Setup!$B$5,Setup!$B$6*E41))</f>
        <v/>
      </c>
      <c r="G41" s="62"/>
      <c r="H41" s="42" t="str">
        <f aca="false">IF(OR(G41="",E41=""),"",(E41-F41)/G41)</f>
        <v/>
      </c>
      <c r="I41" s="60"/>
    </row>
    <row r="42" customFormat="false" ht="15" hidden="false" customHeight="false" outlineLevel="0" collapsed="false">
      <c r="A42" s="59"/>
      <c r="B42" s="60"/>
      <c r="C42" s="41" t="str">
        <f aca="false">IF(B42="","",IFERROR(INDEX(Setup!$A$9:$A$12,MATCH(B42,Setup!$B$9:$B$12,0)),"Ticker not in Setup"))</f>
        <v/>
      </c>
      <c r="D42" s="49"/>
      <c r="E42" s="39" t="str">
        <f aca="false">IF(D42="","",D42/Setup!$B$3)</f>
        <v/>
      </c>
      <c r="F42" s="39" t="str">
        <f aca="false">IF(E42="","",MAX(Setup!$B$5,Setup!$B$6*E42))</f>
        <v/>
      </c>
      <c r="G42" s="62"/>
      <c r="H42" s="42" t="str">
        <f aca="false">IF(OR(G42="",E42=""),"",(E42-F42)/G42)</f>
        <v/>
      </c>
      <c r="I42" s="60"/>
    </row>
    <row r="43" customFormat="false" ht="15" hidden="false" customHeight="false" outlineLevel="0" collapsed="false">
      <c r="A43" s="59"/>
      <c r="B43" s="60"/>
      <c r="C43" s="41" t="str">
        <f aca="false">IF(B43="","",IFERROR(INDEX(Setup!$A$9:$A$12,MATCH(B43,Setup!$B$9:$B$12,0)),"Ticker not in Setup"))</f>
        <v/>
      </c>
      <c r="D43" s="49"/>
      <c r="E43" s="39" t="str">
        <f aca="false">IF(D43="","",D43/Setup!$B$3)</f>
        <v/>
      </c>
      <c r="F43" s="39" t="str">
        <f aca="false">IF(E43="","",MAX(Setup!$B$5,Setup!$B$6*E43))</f>
        <v/>
      </c>
      <c r="G43" s="62"/>
      <c r="H43" s="42" t="str">
        <f aca="false">IF(OR(G43="",E43=""),"",(E43-F43)/G43)</f>
        <v/>
      </c>
      <c r="I43" s="60"/>
    </row>
    <row r="44" customFormat="false" ht="15" hidden="false" customHeight="false" outlineLevel="0" collapsed="false">
      <c r="A44" s="59"/>
      <c r="B44" s="60"/>
      <c r="C44" s="41" t="str">
        <f aca="false">IF(B44="","",IFERROR(INDEX(Setup!$A$9:$A$12,MATCH(B44,Setup!$B$9:$B$12,0)),"Ticker not in Setup"))</f>
        <v/>
      </c>
      <c r="D44" s="49"/>
      <c r="E44" s="39" t="str">
        <f aca="false">IF(D44="","",D44/Setup!$B$3)</f>
        <v/>
      </c>
      <c r="F44" s="39" t="str">
        <f aca="false">IF(E44="","",MAX(Setup!$B$5,Setup!$B$6*E44))</f>
        <v/>
      </c>
      <c r="G44" s="62"/>
      <c r="H44" s="42" t="str">
        <f aca="false">IF(OR(G44="",E44=""),"",(E44-F44)/G44)</f>
        <v/>
      </c>
      <c r="I44" s="60"/>
    </row>
    <row r="45" customFormat="false" ht="15" hidden="false" customHeight="false" outlineLevel="0" collapsed="false">
      <c r="A45" s="59"/>
      <c r="B45" s="60"/>
      <c r="C45" s="41" t="str">
        <f aca="false">IF(B45="","",IFERROR(INDEX(Setup!$A$9:$A$12,MATCH(B45,Setup!$B$9:$B$12,0)),"Ticker not in Setup"))</f>
        <v/>
      </c>
      <c r="D45" s="49"/>
      <c r="E45" s="39" t="str">
        <f aca="false">IF(D45="","",D45/Setup!$B$3)</f>
        <v/>
      </c>
      <c r="F45" s="39" t="str">
        <f aca="false">IF(E45="","",MAX(Setup!$B$5,Setup!$B$6*E45))</f>
        <v/>
      </c>
      <c r="G45" s="62"/>
      <c r="H45" s="42" t="str">
        <f aca="false">IF(OR(G45="",E45=""),"",(E45-F45)/G45)</f>
        <v/>
      </c>
      <c r="I45" s="60"/>
    </row>
    <row r="46" customFormat="false" ht="15" hidden="false" customHeight="false" outlineLevel="0" collapsed="false">
      <c r="A46" s="59"/>
      <c r="B46" s="60"/>
      <c r="C46" s="41" t="str">
        <f aca="false">IF(B46="","",IFERROR(INDEX(Setup!$A$9:$A$12,MATCH(B46,Setup!$B$9:$B$12,0)),"Ticker not in Setup"))</f>
        <v/>
      </c>
      <c r="D46" s="49"/>
      <c r="E46" s="39" t="str">
        <f aca="false">IF(D46="","",D46/Setup!$B$3)</f>
        <v/>
      </c>
      <c r="F46" s="39" t="str">
        <f aca="false">IF(E46="","",MAX(Setup!$B$5,Setup!$B$6*E46))</f>
        <v/>
      </c>
      <c r="G46" s="62"/>
      <c r="H46" s="42" t="str">
        <f aca="false">IF(OR(G46="",E46=""),"",(E46-F46)/G46)</f>
        <v/>
      </c>
      <c r="I46" s="60"/>
    </row>
    <row r="47" customFormat="false" ht="15" hidden="false" customHeight="false" outlineLevel="0" collapsed="false">
      <c r="A47" s="59"/>
      <c r="B47" s="60"/>
      <c r="C47" s="41" t="str">
        <f aca="false">IF(B47="","",IFERROR(INDEX(Setup!$A$9:$A$12,MATCH(B47,Setup!$B$9:$B$12,0)),"Ticker not in Setup"))</f>
        <v/>
      </c>
      <c r="D47" s="49"/>
      <c r="E47" s="39" t="str">
        <f aca="false">IF(D47="","",D47/Setup!$B$3)</f>
        <v/>
      </c>
      <c r="F47" s="39" t="str">
        <f aca="false">IF(E47="","",MAX(Setup!$B$5,Setup!$B$6*E47))</f>
        <v/>
      </c>
      <c r="G47" s="62"/>
      <c r="H47" s="42" t="str">
        <f aca="false">IF(OR(G47="",E47=""),"",(E47-F47)/G47)</f>
        <v/>
      </c>
      <c r="I47" s="60"/>
    </row>
    <row r="48" customFormat="false" ht="15" hidden="false" customHeight="false" outlineLevel="0" collapsed="false">
      <c r="A48" s="59"/>
      <c r="B48" s="60"/>
      <c r="C48" s="41" t="str">
        <f aca="false">IF(B48="","",IFERROR(INDEX(Setup!$A$9:$A$12,MATCH(B48,Setup!$B$9:$B$12,0)),"Ticker not in Setup"))</f>
        <v/>
      </c>
      <c r="D48" s="49"/>
      <c r="E48" s="39" t="str">
        <f aca="false">IF(D48="","",D48/Setup!$B$3)</f>
        <v/>
      </c>
      <c r="F48" s="39" t="str">
        <f aca="false">IF(E48="","",MAX(Setup!$B$5,Setup!$B$6*E48))</f>
        <v/>
      </c>
      <c r="G48" s="62"/>
      <c r="H48" s="42" t="str">
        <f aca="false">IF(OR(G48="",E48=""),"",(E48-F48)/G48)</f>
        <v/>
      </c>
      <c r="I48" s="60"/>
    </row>
    <row r="49" customFormat="false" ht="15" hidden="false" customHeight="false" outlineLevel="0" collapsed="false">
      <c r="A49" s="59"/>
      <c r="B49" s="60"/>
      <c r="C49" s="41" t="str">
        <f aca="false">IF(B49="","",IFERROR(INDEX(Setup!$A$9:$A$12,MATCH(B49,Setup!$B$9:$B$12,0)),"Ticker not in Setup"))</f>
        <v/>
      </c>
      <c r="D49" s="49"/>
      <c r="E49" s="39" t="str">
        <f aca="false">IF(D49="","",D49/Setup!$B$3)</f>
        <v/>
      </c>
      <c r="F49" s="39" t="str">
        <f aca="false">IF(E49="","",MAX(Setup!$B$5,Setup!$B$6*E49))</f>
        <v/>
      </c>
      <c r="G49" s="62"/>
      <c r="H49" s="42" t="str">
        <f aca="false">IF(OR(G49="",E49=""),"",(E49-F49)/G49)</f>
        <v/>
      </c>
      <c r="I49" s="60"/>
    </row>
    <row r="50" customFormat="false" ht="15" hidden="false" customHeight="false" outlineLevel="0" collapsed="false">
      <c r="A50" s="59"/>
      <c r="B50" s="60"/>
      <c r="C50" s="41" t="str">
        <f aca="false">IF(B50="","",IFERROR(INDEX(Setup!$A$9:$A$12,MATCH(B50,Setup!$B$9:$B$12,0)),"Ticker not in Setup"))</f>
        <v/>
      </c>
      <c r="D50" s="49"/>
      <c r="E50" s="39" t="str">
        <f aca="false">IF(D50="","",D50/Setup!$B$3)</f>
        <v/>
      </c>
      <c r="F50" s="39" t="str">
        <f aca="false">IF(E50="","",MAX(Setup!$B$5,Setup!$B$6*E50))</f>
        <v/>
      </c>
      <c r="G50" s="62"/>
      <c r="H50" s="42" t="str">
        <f aca="false">IF(OR(G50="",E50=""),"",(E50-F50)/G50)</f>
        <v/>
      </c>
      <c r="I50" s="60"/>
    </row>
    <row r="51" customFormat="false" ht="15" hidden="false" customHeight="false" outlineLevel="0" collapsed="false">
      <c r="A51" s="59"/>
      <c r="B51" s="60"/>
      <c r="C51" s="41" t="str">
        <f aca="false">IF(B51="","",IFERROR(INDEX(Setup!$A$9:$A$12,MATCH(B51,Setup!$B$9:$B$12,0)),"Ticker not in Setup"))</f>
        <v/>
      </c>
      <c r="D51" s="49"/>
      <c r="E51" s="39" t="str">
        <f aca="false">IF(D51="","",D51/Setup!$B$3)</f>
        <v/>
      </c>
      <c r="F51" s="39" t="str">
        <f aca="false">IF(E51="","",MAX(Setup!$B$5,Setup!$B$6*E51))</f>
        <v/>
      </c>
      <c r="G51" s="62"/>
      <c r="H51" s="42" t="str">
        <f aca="false">IF(OR(G51="",E51=""),"",(E51-F51)/G51)</f>
        <v/>
      </c>
      <c r="I51" s="60"/>
    </row>
    <row r="52" customFormat="false" ht="15" hidden="false" customHeight="false" outlineLevel="0" collapsed="false">
      <c r="A52" s="59"/>
      <c r="B52" s="60"/>
      <c r="C52" s="41" t="str">
        <f aca="false">IF(B52="","",IFERROR(INDEX(Setup!$A$9:$A$12,MATCH(B52,Setup!$B$9:$B$12,0)),"Ticker not in Setup"))</f>
        <v/>
      </c>
      <c r="D52" s="49"/>
      <c r="E52" s="39" t="str">
        <f aca="false">IF(D52="","",D52/Setup!$B$3)</f>
        <v/>
      </c>
      <c r="F52" s="39" t="str">
        <f aca="false">IF(E52="","",MAX(Setup!$B$5,Setup!$B$6*E52))</f>
        <v/>
      </c>
      <c r="G52" s="62"/>
      <c r="H52" s="42" t="str">
        <f aca="false">IF(OR(G52="",E52=""),"",(E52-F52)/G52)</f>
        <v/>
      </c>
      <c r="I52" s="60"/>
    </row>
    <row r="53" customFormat="false" ht="15" hidden="false" customHeight="false" outlineLevel="0" collapsed="false">
      <c r="A53" s="59"/>
      <c r="B53" s="60"/>
      <c r="C53" s="41" t="str">
        <f aca="false">IF(B53="","",IFERROR(INDEX(Setup!$A$9:$A$12,MATCH(B53,Setup!$B$9:$B$12,0)),"Ticker not in Setup"))</f>
        <v/>
      </c>
      <c r="D53" s="49"/>
      <c r="E53" s="39" t="str">
        <f aca="false">IF(D53="","",D53/Setup!$B$3)</f>
        <v/>
      </c>
      <c r="F53" s="39" t="str">
        <f aca="false">IF(E53="","",MAX(Setup!$B$5,Setup!$B$6*E53))</f>
        <v/>
      </c>
      <c r="G53" s="62"/>
      <c r="H53" s="42" t="str">
        <f aca="false">IF(OR(G53="",E53=""),"",(E53-F53)/G53)</f>
        <v/>
      </c>
      <c r="I53" s="60"/>
    </row>
    <row r="54" customFormat="false" ht="15" hidden="false" customHeight="false" outlineLevel="0" collapsed="false">
      <c r="A54" s="59"/>
      <c r="B54" s="60"/>
      <c r="C54" s="41" t="str">
        <f aca="false">IF(B54="","",IFERROR(INDEX(Setup!$A$9:$A$12,MATCH(B54,Setup!$B$9:$B$12,0)),"Ticker not in Setup"))</f>
        <v/>
      </c>
      <c r="D54" s="49"/>
      <c r="E54" s="39" t="str">
        <f aca="false">IF(D54="","",D54/Setup!$B$3)</f>
        <v/>
      </c>
      <c r="F54" s="39" t="str">
        <f aca="false">IF(E54="","",MAX(Setup!$B$5,Setup!$B$6*E54))</f>
        <v/>
      </c>
      <c r="G54" s="62"/>
      <c r="H54" s="42" t="str">
        <f aca="false">IF(OR(G54="",E54=""),"",(E54-F54)/G54)</f>
        <v/>
      </c>
      <c r="I54" s="60"/>
    </row>
    <row r="55" customFormat="false" ht="15" hidden="false" customHeight="false" outlineLevel="0" collapsed="false">
      <c r="A55" s="59"/>
      <c r="B55" s="60"/>
      <c r="C55" s="41" t="str">
        <f aca="false">IF(B55="","",IFERROR(INDEX(Setup!$A$9:$A$12,MATCH(B55,Setup!$B$9:$B$12,0)),"Ticker not in Setup"))</f>
        <v/>
      </c>
      <c r="D55" s="49"/>
      <c r="E55" s="39" t="str">
        <f aca="false">IF(D55="","",D55/Setup!$B$3)</f>
        <v/>
      </c>
      <c r="F55" s="39" t="str">
        <f aca="false">IF(E55="","",MAX(Setup!$B$5,Setup!$B$6*E55))</f>
        <v/>
      </c>
      <c r="G55" s="62"/>
      <c r="H55" s="42" t="str">
        <f aca="false">IF(OR(G55="",E55=""),"",(E55-F55)/G55)</f>
        <v/>
      </c>
      <c r="I55" s="60"/>
    </row>
    <row r="56" customFormat="false" ht="15" hidden="false" customHeight="false" outlineLevel="0" collapsed="false">
      <c r="A56" s="59"/>
      <c r="B56" s="60"/>
      <c r="C56" s="41" t="str">
        <f aca="false">IF(B56="","",IFERROR(INDEX(Setup!$A$9:$A$12,MATCH(B56,Setup!$B$9:$B$12,0)),"Ticker not in Setup"))</f>
        <v/>
      </c>
      <c r="D56" s="49"/>
      <c r="E56" s="39" t="str">
        <f aca="false">IF(D56="","",D56/Setup!$B$3)</f>
        <v/>
      </c>
      <c r="F56" s="39" t="str">
        <f aca="false">IF(E56="","",MAX(Setup!$B$5,Setup!$B$6*E56))</f>
        <v/>
      </c>
      <c r="G56" s="62"/>
      <c r="H56" s="42" t="str">
        <f aca="false">IF(OR(G56="",E56=""),"",(E56-F56)/G56)</f>
        <v/>
      </c>
      <c r="I56" s="60"/>
    </row>
    <row r="57" customFormat="false" ht="15" hidden="false" customHeight="false" outlineLevel="0" collapsed="false">
      <c r="A57" s="59"/>
      <c r="B57" s="60"/>
      <c r="C57" s="41" t="str">
        <f aca="false">IF(B57="","",IFERROR(INDEX(Setup!$A$9:$A$12,MATCH(B57,Setup!$B$9:$B$12,0)),"Ticker not in Setup"))</f>
        <v/>
      </c>
      <c r="D57" s="49"/>
      <c r="E57" s="39" t="str">
        <f aca="false">IF(D57="","",D57/Setup!$B$3)</f>
        <v/>
      </c>
      <c r="F57" s="39" t="str">
        <f aca="false">IF(E57="","",MAX(Setup!$B$5,Setup!$B$6*E57))</f>
        <v/>
      </c>
      <c r="G57" s="62"/>
      <c r="H57" s="42" t="str">
        <f aca="false">IF(OR(G57="",E57=""),"",(E57-F57)/G57)</f>
        <v/>
      </c>
      <c r="I57" s="60"/>
    </row>
    <row r="58" customFormat="false" ht="15" hidden="false" customHeight="false" outlineLevel="0" collapsed="false">
      <c r="A58" s="59"/>
      <c r="B58" s="60"/>
      <c r="C58" s="41" t="str">
        <f aca="false">IF(B58="","",IFERROR(INDEX(Setup!$A$9:$A$12,MATCH(B58,Setup!$B$9:$B$12,0)),"Ticker not in Setup"))</f>
        <v/>
      </c>
      <c r="D58" s="49"/>
      <c r="E58" s="39" t="str">
        <f aca="false">IF(D58="","",D58/Setup!$B$3)</f>
        <v/>
      </c>
      <c r="F58" s="39" t="str">
        <f aca="false">IF(E58="","",MAX(Setup!$B$5,Setup!$B$6*E58))</f>
        <v/>
      </c>
      <c r="G58" s="62"/>
      <c r="H58" s="42" t="str">
        <f aca="false">IF(OR(G58="",E58=""),"",(E58-F58)/G58)</f>
        <v/>
      </c>
      <c r="I58" s="60"/>
    </row>
    <row r="59" customFormat="false" ht="15" hidden="false" customHeight="false" outlineLevel="0" collapsed="false">
      <c r="A59" s="59"/>
      <c r="B59" s="60"/>
      <c r="C59" s="41" t="str">
        <f aca="false">IF(B59="","",IFERROR(INDEX(Setup!$A$9:$A$12,MATCH(B59,Setup!$B$9:$B$12,0)),"Ticker not in Setup"))</f>
        <v/>
      </c>
      <c r="D59" s="49"/>
      <c r="E59" s="39" t="str">
        <f aca="false">IF(D59="","",D59/Setup!$B$3)</f>
        <v/>
      </c>
      <c r="F59" s="39" t="str">
        <f aca="false">IF(E59="","",MAX(Setup!$B$5,Setup!$B$6*E59))</f>
        <v/>
      </c>
      <c r="G59" s="62"/>
      <c r="H59" s="42" t="str">
        <f aca="false">IF(OR(G59="",E59=""),"",(E59-F59)/G59)</f>
        <v/>
      </c>
      <c r="I59" s="60"/>
    </row>
    <row r="60" customFormat="false" ht="15" hidden="false" customHeight="false" outlineLevel="0" collapsed="false">
      <c r="A60" s="59"/>
      <c r="B60" s="60"/>
      <c r="C60" s="41" t="str">
        <f aca="false">IF(B60="","",IFERROR(INDEX(Setup!$A$9:$A$12,MATCH(B60,Setup!$B$9:$B$12,0)),"Ticker not in Setup"))</f>
        <v/>
      </c>
      <c r="D60" s="49"/>
      <c r="E60" s="39" t="str">
        <f aca="false">IF(D60="","",D60/Setup!$B$3)</f>
        <v/>
      </c>
      <c r="F60" s="39" t="str">
        <f aca="false">IF(E60="","",MAX(Setup!$B$5,Setup!$B$6*E60))</f>
        <v/>
      </c>
      <c r="G60" s="62"/>
      <c r="H60" s="42" t="str">
        <f aca="false">IF(OR(G60="",E60=""),"",(E60-F60)/G60)</f>
        <v/>
      </c>
      <c r="I60" s="60"/>
    </row>
    <row r="61" customFormat="false" ht="15" hidden="false" customHeight="false" outlineLevel="0" collapsed="false">
      <c r="A61" s="59"/>
      <c r="B61" s="60"/>
      <c r="C61" s="41" t="str">
        <f aca="false">IF(B61="","",IFERROR(INDEX(Setup!$A$9:$A$12,MATCH(B61,Setup!$B$9:$B$12,0)),"Ticker not in Setup"))</f>
        <v/>
      </c>
      <c r="D61" s="49"/>
      <c r="E61" s="39" t="str">
        <f aca="false">IF(D61="","",D61/Setup!$B$3)</f>
        <v/>
      </c>
      <c r="F61" s="39" t="str">
        <f aca="false">IF(E61="","",MAX(Setup!$B$5,Setup!$B$6*E61))</f>
        <v/>
      </c>
      <c r="G61" s="62"/>
      <c r="H61" s="42" t="str">
        <f aca="false">IF(OR(G61="",E61=""),"",(E61-F61)/G61)</f>
        <v/>
      </c>
      <c r="I61" s="60"/>
    </row>
    <row r="62" customFormat="false" ht="15" hidden="false" customHeight="false" outlineLevel="0" collapsed="false">
      <c r="A62" s="59"/>
      <c r="B62" s="60"/>
      <c r="C62" s="41" t="str">
        <f aca="false">IF(B62="","",IFERROR(INDEX(Setup!$A$9:$A$12,MATCH(B62,Setup!$B$9:$B$12,0)),"Ticker not in Setup"))</f>
        <v/>
      </c>
      <c r="D62" s="49"/>
      <c r="E62" s="39" t="str">
        <f aca="false">IF(D62="","",D62/Setup!$B$3)</f>
        <v/>
      </c>
      <c r="F62" s="39" t="str">
        <f aca="false">IF(E62="","",MAX(Setup!$B$5,Setup!$B$6*E62))</f>
        <v/>
      </c>
      <c r="G62" s="62"/>
      <c r="H62" s="42" t="str">
        <f aca="false">IF(OR(G62="",E62=""),"",(E62-F62)/G62)</f>
        <v/>
      </c>
      <c r="I62" s="60"/>
    </row>
    <row r="63" customFormat="false" ht="15" hidden="false" customHeight="false" outlineLevel="0" collapsed="false">
      <c r="A63" s="59"/>
      <c r="B63" s="60"/>
      <c r="C63" s="41" t="str">
        <f aca="false">IF(B63="","",IFERROR(INDEX(Setup!$A$9:$A$12,MATCH(B63,Setup!$B$9:$B$12,0)),"Ticker not in Setup"))</f>
        <v/>
      </c>
      <c r="D63" s="49"/>
      <c r="E63" s="39" t="str">
        <f aca="false">IF(D63="","",D63/Setup!$B$3)</f>
        <v/>
      </c>
      <c r="F63" s="39" t="str">
        <f aca="false">IF(E63="","",MAX(Setup!$B$5,Setup!$B$6*E63))</f>
        <v/>
      </c>
      <c r="G63" s="62"/>
      <c r="H63" s="42" t="str">
        <f aca="false">IF(OR(G63="",E63=""),"",(E63-F63)/G63)</f>
        <v/>
      </c>
      <c r="I63" s="60"/>
    </row>
    <row r="64" customFormat="false" ht="15" hidden="false" customHeight="false" outlineLevel="0" collapsed="false">
      <c r="A64" s="59"/>
      <c r="B64" s="60"/>
      <c r="C64" s="41" t="str">
        <f aca="false">IF(B64="","",IFERROR(INDEX(Setup!$A$9:$A$12,MATCH(B64,Setup!$B$9:$B$12,0)),"Ticker not in Setup"))</f>
        <v/>
      </c>
      <c r="D64" s="49"/>
      <c r="E64" s="39" t="str">
        <f aca="false">IF(D64="","",D64/Setup!$B$3)</f>
        <v/>
      </c>
      <c r="F64" s="39" t="str">
        <f aca="false">IF(E64="","",MAX(Setup!$B$5,Setup!$B$6*E64))</f>
        <v/>
      </c>
      <c r="G64" s="62"/>
      <c r="H64" s="42" t="str">
        <f aca="false">IF(OR(G64="",E64=""),"",(E64-F64)/G64)</f>
        <v/>
      </c>
      <c r="I64" s="60"/>
    </row>
    <row r="65" customFormat="false" ht="15" hidden="false" customHeight="false" outlineLevel="0" collapsed="false">
      <c r="A65" s="59"/>
      <c r="B65" s="60"/>
      <c r="C65" s="41" t="str">
        <f aca="false">IF(B65="","",IFERROR(INDEX(Setup!$A$9:$A$12,MATCH(B65,Setup!$B$9:$B$12,0)),"Ticker not in Setup"))</f>
        <v/>
      </c>
      <c r="D65" s="49"/>
      <c r="E65" s="39" t="str">
        <f aca="false">IF(D65="","",D65/Setup!$B$3)</f>
        <v/>
      </c>
      <c r="F65" s="39" t="str">
        <f aca="false">IF(E65="","",MAX(Setup!$B$5,Setup!$B$6*E65))</f>
        <v/>
      </c>
      <c r="G65" s="62"/>
      <c r="H65" s="42" t="str">
        <f aca="false">IF(OR(G65="",E65=""),"",(E65-F65)/G65)</f>
        <v/>
      </c>
      <c r="I65" s="60"/>
    </row>
    <row r="66" customFormat="false" ht="15" hidden="false" customHeight="false" outlineLevel="0" collapsed="false">
      <c r="A66" s="59"/>
      <c r="B66" s="60"/>
      <c r="C66" s="41" t="str">
        <f aca="false">IF(B66="","",IFERROR(INDEX(Setup!$A$9:$A$12,MATCH(B66,Setup!$B$9:$B$12,0)),"Ticker not in Setup"))</f>
        <v/>
      </c>
      <c r="D66" s="49"/>
      <c r="E66" s="39" t="str">
        <f aca="false">IF(D66="","",D66/Setup!$B$3)</f>
        <v/>
      </c>
      <c r="F66" s="39" t="str">
        <f aca="false">IF(E66="","",MAX(Setup!$B$5,Setup!$B$6*E66))</f>
        <v/>
      </c>
      <c r="G66" s="62"/>
      <c r="H66" s="42" t="str">
        <f aca="false">IF(OR(G66="",E66=""),"",(E66-F66)/G66)</f>
        <v/>
      </c>
      <c r="I66" s="60"/>
    </row>
    <row r="67" customFormat="false" ht="15" hidden="false" customHeight="false" outlineLevel="0" collapsed="false">
      <c r="A67" s="59"/>
      <c r="B67" s="60"/>
      <c r="C67" s="41" t="str">
        <f aca="false">IF(B67="","",IFERROR(INDEX(Setup!$A$9:$A$12,MATCH(B67,Setup!$B$9:$B$12,0)),"Ticker not in Setup"))</f>
        <v/>
      </c>
      <c r="D67" s="49"/>
      <c r="E67" s="39" t="str">
        <f aca="false">IF(D67="","",D67/Setup!$B$3)</f>
        <v/>
      </c>
      <c r="F67" s="39" t="str">
        <f aca="false">IF(E67="","",MAX(Setup!$B$5,Setup!$B$6*E67))</f>
        <v/>
      </c>
      <c r="G67" s="62"/>
      <c r="H67" s="42" t="str">
        <f aca="false">IF(OR(G67="",E67=""),"",(E67-F67)/G67)</f>
        <v/>
      </c>
      <c r="I67" s="60"/>
    </row>
    <row r="68" customFormat="false" ht="15" hidden="false" customHeight="false" outlineLevel="0" collapsed="false">
      <c r="A68" s="59"/>
      <c r="B68" s="60"/>
      <c r="C68" s="41" t="str">
        <f aca="false">IF(B68="","",IFERROR(INDEX(Setup!$A$9:$A$12,MATCH(B68,Setup!$B$9:$B$12,0)),"Ticker not in Setup"))</f>
        <v/>
      </c>
      <c r="D68" s="49"/>
      <c r="E68" s="39" t="str">
        <f aca="false">IF(D68="","",D68/Setup!$B$3)</f>
        <v/>
      </c>
      <c r="F68" s="39" t="str">
        <f aca="false">IF(E68="","",MAX(Setup!$B$5,Setup!$B$6*E68))</f>
        <v/>
      </c>
      <c r="G68" s="62"/>
      <c r="H68" s="42" t="str">
        <f aca="false">IF(OR(G68="",E68=""),"",(E68-F68)/G68)</f>
        <v/>
      </c>
      <c r="I68" s="60"/>
    </row>
    <row r="69" customFormat="false" ht="15" hidden="false" customHeight="false" outlineLevel="0" collapsed="false">
      <c r="A69" s="59"/>
      <c r="B69" s="60"/>
      <c r="C69" s="41" t="str">
        <f aca="false">IF(B69="","",IFERROR(INDEX(Setup!$A$9:$A$12,MATCH(B69,Setup!$B$9:$B$12,0)),"Ticker not in Setup"))</f>
        <v/>
      </c>
      <c r="D69" s="49"/>
      <c r="E69" s="39" t="str">
        <f aca="false">IF(D69="","",D69/Setup!$B$3)</f>
        <v/>
      </c>
      <c r="F69" s="39" t="str">
        <f aca="false">IF(E69="","",MAX(Setup!$B$5,Setup!$B$6*E69))</f>
        <v/>
      </c>
      <c r="G69" s="62"/>
      <c r="H69" s="42" t="str">
        <f aca="false">IF(OR(G69="",E69=""),"",(E69-F69)/G69)</f>
        <v/>
      </c>
      <c r="I69" s="60"/>
    </row>
    <row r="70" customFormat="false" ht="15" hidden="false" customHeight="false" outlineLevel="0" collapsed="false">
      <c r="A70" s="59"/>
      <c r="B70" s="60"/>
      <c r="C70" s="41" t="str">
        <f aca="false">IF(B70="","",IFERROR(INDEX(Setup!$A$9:$A$12,MATCH(B70,Setup!$B$9:$B$12,0)),"Ticker not in Setup"))</f>
        <v/>
      </c>
      <c r="D70" s="49"/>
      <c r="E70" s="39" t="str">
        <f aca="false">IF(D70="","",D70/Setup!$B$3)</f>
        <v/>
      </c>
      <c r="F70" s="39" t="str">
        <f aca="false">IF(E70="","",MAX(Setup!$B$5,Setup!$B$6*E70))</f>
        <v/>
      </c>
      <c r="G70" s="62"/>
      <c r="H70" s="42" t="str">
        <f aca="false">IF(OR(G70="",E70=""),"",(E70-F70)/G70)</f>
        <v/>
      </c>
      <c r="I70" s="60"/>
    </row>
    <row r="71" customFormat="false" ht="15" hidden="false" customHeight="false" outlineLevel="0" collapsed="false">
      <c r="A71" s="59"/>
      <c r="B71" s="60"/>
      <c r="C71" s="41" t="str">
        <f aca="false">IF(B71="","",IFERROR(INDEX(Setup!$A$9:$A$12,MATCH(B71,Setup!$B$9:$B$12,0)),"Ticker not in Setup"))</f>
        <v/>
      </c>
      <c r="D71" s="49"/>
      <c r="E71" s="39" t="str">
        <f aca="false">IF(D71="","",D71/Setup!$B$3)</f>
        <v/>
      </c>
      <c r="F71" s="39" t="str">
        <f aca="false">IF(E71="","",MAX(Setup!$B$5,Setup!$B$6*E71))</f>
        <v/>
      </c>
      <c r="G71" s="62"/>
      <c r="H71" s="42" t="str">
        <f aca="false">IF(OR(G71="",E71=""),"",(E71-F71)/G71)</f>
        <v/>
      </c>
      <c r="I71" s="60"/>
    </row>
    <row r="72" customFormat="false" ht="15" hidden="false" customHeight="false" outlineLevel="0" collapsed="false">
      <c r="A72" s="59"/>
      <c r="B72" s="60"/>
      <c r="C72" s="41" t="str">
        <f aca="false">IF(B72="","",IFERROR(INDEX(Setup!$A$9:$A$12,MATCH(B72,Setup!$B$9:$B$12,0)),"Ticker not in Setup"))</f>
        <v/>
      </c>
      <c r="D72" s="49"/>
      <c r="E72" s="39" t="str">
        <f aca="false">IF(D72="","",D72/Setup!$B$3)</f>
        <v/>
      </c>
      <c r="F72" s="39" t="str">
        <f aca="false">IF(E72="","",MAX(Setup!$B$5,Setup!$B$6*E72))</f>
        <v/>
      </c>
      <c r="G72" s="62"/>
      <c r="H72" s="42" t="str">
        <f aca="false">IF(OR(G72="",E72=""),"",(E72-F72)/G72)</f>
        <v/>
      </c>
      <c r="I72" s="60"/>
    </row>
    <row r="73" customFormat="false" ht="15" hidden="false" customHeight="false" outlineLevel="0" collapsed="false">
      <c r="A73" s="59"/>
      <c r="B73" s="60"/>
      <c r="C73" s="41" t="str">
        <f aca="false">IF(B73="","",IFERROR(INDEX(Setup!$A$9:$A$12,MATCH(B73,Setup!$B$9:$B$12,0)),"Ticker not in Setup"))</f>
        <v/>
      </c>
      <c r="D73" s="49"/>
      <c r="E73" s="39" t="str">
        <f aca="false">IF(D73="","",D73/Setup!$B$3)</f>
        <v/>
      </c>
      <c r="F73" s="39" t="str">
        <f aca="false">IF(E73="","",MAX(Setup!$B$5,Setup!$B$6*E73))</f>
        <v/>
      </c>
      <c r="G73" s="62"/>
      <c r="H73" s="42" t="str">
        <f aca="false">IF(OR(G73="",E73=""),"",(E73-F73)/G73)</f>
        <v/>
      </c>
      <c r="I73" s="60"/>
    </row>
    <row r="74" customFormat="false" ht="15" hidden="false" customHeight="false" outlineLevel="0" collapsed="false">
      <c r="A74" s="59"/>
      <c r="B74" s="60"/>
      <c r="C74" s="41" t="str">
        <f aca="false">IF(B74="","",IFERROR(INDEX(Setup!$A$9:$A$12,MATCH(B74,Setup!$B$9:$B$12,0)),"Ticker not in Setup"))</f>
        <v/>
      </c>
      <c r="D74" s="49"/>
      <c r="E74" s="39" t="str">
        <f aca="false">IF(D74="","",D74/Setup!$B$3)</f>
        <v/>
      </c>
      <c r="F74" s="39" t="str">
        <f aca="false">IF(E74="","",MAX(Setup!$B$5,Setup!$B$6*E74))</f>
        <v/>
      </c>
      <c r="G74" s="62"/>
      <c r="H74" s="42" t="str">
        <f aca="false">IF(OR(G74="",E74=""),"",(E74-F74)/G74)</f>
        <v/>
      </c>
      <c r="I74" s="60"/>
    </row>
    <row r="75" customFormat="false" ht="15" hidden="false" customHeight="false" outlineLevel="0" collapsed="false">
      <c r="A75" s="59"/>
      <c r="B75" s="60"/>
      <c r="C75" s="41" t="str">
        <f aca="false">IF(B75="","",IFERROR(INDEX(Setup!$A$9:$A$12,MATCH(B75,Setup!$B$9:$B$12,0)),"Ticker not in Setup"))</f>
        <v/>
      </c>
      <c r="D75" s="49"/>
      <c r="E75" s="39" t="str">
        <f aca="false">IF(D75="","",D75/Setup!$B$3)</f>
        <v/>
      </c>
      <c r="F75" s="39" t="str">
        <f aca="false">IF(E75="","",MAX(Setup!$B$5,Setup!$B$6*E75))</f>
        <v/>
      </c>
      <c r="G75" s="62"/>
      <c r="H75" s="42" t="str">
        <f aca="false">IF(OR(G75="",E75=""),"",(E75-F75)/G75)</f>
        <v/>
      </c>
      <c r="I75" s="60"/>
    </row>
    <row r="76" customFormat="false" ht="15" hidden="false" customHeight="false" outlineLevel="0" collapsed="false">
      <c r="A76" s="59"/>
      <c r="B76" s="60"/>
      <c r="C76" s="41" t="str">
        <f aca="false">IF(B76="","",IFERROR(INDEX(Setup!$A$9:$A$12,MATCH(B76,Setup!$B$9:$B$12,0)),"Ticker not in Setup"))</f>
        <v/>
      </c>
      <c r="D76" s="49"/>
      <c r="E76" s="39" t="str">
        <f aca="false">IF(D76="","",D76/Setup!$B$3)</f>
        <v/>
      </c>
      <c r="F76" s="39" t="str">
        <f aca="false">IF(E76="","",MAX(Setup!$B$5,Setup!$B$6*E76))</f>
        <v/>
      </c>
      <c r="G76" s="62"/>
      <c r="H76" s="42" t="str">
        <f aca="false">IF(OR(G76="",E76=""),"",(E76-F76)/G76)</f>
        <v/>
      </c>
      <c r="I76" s="60"/>
    </row>
    <row r="77" customFormat="false" ht="15" hidden="false" customHeight="false" outlineLevel="0" collapsed="false">
      <c r="A77" s="59"/>
      <c r="B77" s="60"/>
      <c r="C77" s="41" t="str">
        <f aca="false">IF(B77="","",IFERROR(INDEX(Setup!$A$9:$A$12,MATCH(B77,Setup!$B$9:$B$12,0)),"Ticker not in Setup"))</f>
        <v/>
      </c>
      <c r="D77" s="49"/>
      <c r="E77" s="39" t="str">
        <f aca="false">IF(D77="","",D77/Setup!$B$3)</f>
        <v/>
      </c>
      <c r="F77" s="39" t="str">
        <f aca="false">IF(E77="","",MAX(Setup!$B$5,Setup!$B$6*E77))</f>
        <v/>
      </c>
      <c r="G77" s="62"/>
      <c r="H77" s="42" t="str">
        <f aca="false">IF(OR(G77="",E77=""),"",(E77-F77)/G77)</f>
        <v/>
      </c>
      <c r="I77" s="60"/>
    </row>
    <row r="78" customFormat="false" ht="15" hidden="false" customHeight="false" outlineLevel="0" collapsed="false">
      <c r="A78" s="59"/>
      <c r="B78" s="60"/>
      <c r="C78" s="41" t="str">
        <f aca="false">IF(B78="","",IFERROR(INDEX(Setup!$A$9:$A$12,MATCH(B78,Setup!$B$9:$B$12,0)),"Ticker not in Setup"))</f>
        <v/>
      </c>
      <c r="D78" s="49"/>
      <c r="E78" s="39" t="str">
        <f aca="false">IF(D78="","",D78/Setup!$B$3)</f>
        <v/>
      </c>
      <c r="F78" s="39" t="str">
        <f aca="false">IF(E78="","",MAX(Setup!$B$5,Setup!$B$6*E78))</f>
        <v/>
      </c>
      <c r="G78" s="62"/>
      <c r="H78" s="42" t="str">
        <f aca="false">IF(OR(G78="",E78=""),"",(E78-F78)/G78)</f>
        <v/>
      </c>
      <c r="I78" s="60"/>
    </row>
    <row r="79" customFormat="false" ht="15" hidden="false" customHeight="false" outlineLevel="0" collapsed="false">
      <c r="A79" s="59"/>
      <c r="B79" s="60"/>
      <c r="C79" s="41" t="str">
        <f aca="false">IF(B79="","",IFERROR(INDEX(Setup!$A$9:$A$12,MATCH(B79,Setup!$B$9:$B$12,0)),"Ticker not in Setup"))</f>
        <v/>
      </c>
      <c r="D79" s="49"/>
      <c r="E79" s="39" t="str">
        <f aca="false">IF(D79="","",D79/Setup!$B$3)</f>
        <v/>
      </c>
      <c r="F79" s="39" t="str">
        <f aca="false">IF(E79="","",MAX(Setup!$B$5,Setup!$B$6*E79))</f>
        <v/>
      </c>
      <c r="G79" s="62"/>
      <c r="H79" s="42" t="str">
        <f aca="false">IF(OR(G79="",E79=""),"",(E79-F79)/G79)</f>
        <v/>
      </c>
      <c r="I79" s="60"/>
    </row>
    <row r="80" customFormat="false" ht="15" hidden="false" customHeight="false" outlineLevel="0" collapsed="false">
      <c r="A80" s="59"/>
      <c r="B80" s="60"/>
      <c r="C80" s="41" t="str">
        <f aca="false">IF(B80="","",IFERROR(INDEX(Setup!$A$9:$A$12,MATCH(B80,Setup!$B$9:$B$12,0)),"Ticker not in Setup"))</f>
        <v/>
      </c>
      <c r="D80" s="49"/>
      <c r="E80" s="39" t="str">
        <f aca="false">IF(D80="","",D80/Setup!$B$3)</f>
        <v/>
      </c>
      <c r="F80" s="39" t="str">
        <f aca="false">IF(E80="","",MAX(Setup!$B$5,Setup!$B$6*E80))</f>
        <v/>
      </c>
      <c r="G80" s="62"/>
      <c r="H80" s="42" t="str">
        <f aca="false">IF(OR(G80="",E80=""),"",(E80-F80)/G80)</f>
        <v/>
      </c>
      <c r="I80" s="60"/>
    </row>
    <row r="81" customFormat="false" ht="15" hidden="false" customHeight="false" outlineLevel="0" collapsed="false">
      <c r="A81" s="59"/>
      <c r="B81" s="60"/>
      <c r="C81" s="41" t="str">
        <f aca="false">IF(B81="","",IFERROR(INDEX(Setup!$A$9:$A$12,MATCH(B81,Setup!$B$9:$B$12,0)),"Ticker not in Setup"))</f>
        <v/>
      </c>
      <c r="D81" s="49"/>
      <c r="E81" s="39" t="str">
        <f aca="false">IF(D81="","",D81/Setup!$B$3)</f>
        <v/>
      </c>
      <c r="F81" s="39" t="str">
        <f aca="false">IF(E81="","",MAX(Setup!$B$5,Setup!$B$6*E81))</f>
        <v/>
      </c>
      <c r="G81" s="62"/>
      <c r="H81" s="42" t="str">
        <f aca="false">IF(OR(G81="",E81=""),"",(E81-F81)/G81)</f>
        <v/>
      </c>
      <c r="I81" s="60"/>
    </row>
    <row r="82" customFormat="false" ht="15" hidden="false" customHeight="false" outlineLevel="0" collapsed="false">
      <c r="A82" s="59"/>
      <c r="B82" s="60"/>
      <c r="C82" s="41" t="str">
        <f aca="false">IF(B82="","",IFERROR(INDEX(Setup!$A$9:$A$12,MATCH(B82,Setup!$B$9:$B$12,0)),"Ticker not in Setup"))</f>
        <v/>
      </c>
      <c r="D82" s="49"/>
      <c r="E82" s="39" t="str">
        <f aca="false">IF(D82="","",D82/Setup!$B$3)</f>
        <v/>
      </c>
      <c r="F82" s="39" t="str">
        <f aca="false">IF(E82="","",MAX(Setup!$B$5,Setup!$B$6*E82))</f>
        <v/>
      </c>
      <c r="G82" s="62"/>
      <c r="H82" s="42" t="str">
        <f aca="false">IF(OR(G82="",E82=""),"",(E82-F82)/G82)</f>
        <v/>
      </c>
      <c r="I82" s="60"/>
    </row>
    <row r="83" customFormat="false" ht="15" hidden="false" customHeight="false" outlineLevel="0" collapsed="false">
      <c r="A83" s="59"/>
      <c r="B83" s="60"/>
      <c r="C83" s="41" t="str">
        <f aca="false">IF(B83="","",IFERROR(INDEX(Setup!$A$9:$A$12,MATCH(B83,Setup!$B$9:$B$12,0)),"Ticker not in Setup"))</f>
        <v/>
      </c>
      <c r="D83" s="49"/>
      <c r="E83" s="39" t="str">
        <f aca="false">IF(D83="","",D83/Setup!$B$3)</f>
        <v/>
      </c>
      <c r="F83" s="39" t="str">
        <f aca="false">IF(E83="","",MAX(Setup!$B$5,Setup!$B$6*E83))</f>
        <v/>
      </c>
      <c r="G83" s="62"/>
      <c r="H83" s="42" t="str">
        <f aca="false">IF(OR(G83="",E83=""),"",(E83-F83)/G83)</f>
        <v/>
      </c>
      <c r="I83" s="60"/>
    </row>
    <row r="84" customFormat="false" ht="15" hidden="false" customHeight="false" outlineLevel="0" collapsed="false">
      <c r="A84" s="59"/>
      <c r="B84" s="60"/>
      <c r="C84" s="41" t="str">
        <f aca="false">IF(B84="","",IFERROR(INDEX(Setup!$A$9:$A$12,MATCH(B84,Setup!$B$9:$B$12,0)),"Ticker not in Setup"))</f>
        <v/>
      </c>
      <c r="D84" s="49"/>
      <c r="E84" s="39" t="str">
        <f aca="false">IF(D84="","",D84/Setup!$B$3)</f>
        <v/>
      </c>
      <c r="F84" s="39" t="str">
        <f aca="false">IF(E84="","",MAX(Setup!$B$5,Setup!$B$6*E84))</f>
        <v/>
      </c>
      <c r="G84" s="62"/>
      <c r="H84" s="42" t="str">
        <f aca="false">IF(OR(G84="",E84=""),"",(E84-F84)/G84)</f>
        <v/>
      </c>
      <c r="I84" s="60"/>
    </row>
    <row r="85" customFormat="false" ht="15" hidden="false" customHeight="false" outlineLevel="0" collapsed="false">
      <c r="A85" s="59"/>
      <c r="B85" s="60"/>
      <c r="C85" s="41" t="str">
        <f aca="false">IF(B85="","",IFERROR(INDEX(Setup!$A$9:$A$12,MATCH(B85,Setup!$B$9:$B$12,0)),"Ticker not in Setup"))</f>
        <v/>
      </c>
      <c r="D85" s="49"/>
      <c r="E85" s="39" t="str">
        <f aca="false">IF(D85="","",D85/Setup!$B$3)</f>
        <v/>
      </c>
      <c r="F85" s="39" t="str">
        <f aca="false">IF(E85="","",MAX(Setup!$B$5,Setup!$B$6*E85))</f>
        <v/>
      </c>
      <c r="G85" s="62"/>
      <c r="H85" s="42" t="str">
        <f aca="false">IF(OR(G85="",E85=""),"",(E85-F85)/G85)</f>
        <v/>
      </c>
      <c r="I85" s="60"/>
    </row>
    <row r="86" customFormat="false" ht="15" hidden="false" customHeight="false" outlineLevel="0" collapsed="false">
      <c r="A86" s="59"/>
      <c r="B86" s="60"/>
      <c r="C86" s="41" t="str">
        <f aca="false">IF(B86="","",IFERROR(INDEX(Setup!$A$9:$A$12,MATCH(B86,Setup!$B$9:$B$12,0)),"Ticker not in Setup"))</f>
        <v/>
      </c>
      <c r="D86" s="49"/>
      <c r="E86" s="39" t="str">
        <f aca="false">IF(D86="","",D86/Setup!$B$3)</f>
        <v/>
      </c>
      <c r="F86" s="39" t="str">
        <f aca="false">IF(E86="","",MAX(Setup!$B$5,Setup!$B$6*E86))</f>
        <v/>
      </c>
      <c r="G86" s="62"/>
      <c r="H86" s="42" t="str">
        <f aca="false">IF(OR(G86="",E86=""),"",(E86-F86)/G86)</f>
        <v/>
      </c>
      <c r="I86" s="60"/>
    </row>
    <row r="87" customFormat="false" ht="15" hidden="false" customHeight="false" outlineLevel="0" collapsed="false">
      <c r="A87" s="59"/>
      <c r="B87" s="60"/>
      <c r="C87" s="41" t="str">
        <f aca="false">IF(B87="","",IFERROR(INDEX(Setup!$A$9:$A$12,MATCH(B87,Setup!$B$9:$B$12,0)),"Ticker not in Setup"))</f>
        <v/>
      </c>
      <c r="D87" s="49"/>
      <c r="E87" s="39" t="str">
        <f aca="false">IF(D87="","",D87/Setup!$B$3)</f>
        <v/>
      </c>
      <c r="F87" s="39" t="str">
        <f aca="false">IF(E87="","",MAX(Setup!$B$5,Setup!$B$6*E87))</f>
        <v/>
      </c>
      <c r="G87" s="62"/>
      <c r="H87" s="42" t="str">
        <f aca="false">IF(OR(G87="",E87=""),"",(E87-F87)/G87)</f>
        <v/>
      </c>
      <c r="I87" s="60"/>
    </row>
    <row r="88" customFormat="false" ht="15" hidden="false" customHeight="false" outlineLevel="0" collapsed="false">
      <c r="A88" s="59"/>
      <c r="B88" s="60"/>
      <c r="C88" s="41" t="str">
        <f aca="false">IF(B88="","",IFERROR(INDEX(Setup!$A$9:$A$12,MATCH(B88,Setup!$B$9:$B$12,0)),"Ticker not in Setup"))</f>
        <v/>
      </c>
      <c r="D88" s="49"/>
      <c r="E88" s="39" t="str">
        <f aca="false">IF(D88="","",D88/Setup!$B$3)</f>
        <v/>
      </c>
      <c r="F88" s="39" t="str">
        <f aca="false">IF(E88="","",MAX(Setup!$B$5,Setup!$B$6*E88))</f>
        <v/>
      </c>
      <c r="G88" s="62"/>
      <c r="H88" s="42" t="str">
        <f aca="false">IF(OR(G88="",E88=""),"",(E88-F88)/G88)</f>
        <v/>
      </c>
      <c r="I88" s="60"/>
    </row>
    <row r="89" customFormat="false" ht="15" hidden="false" customHeight="false" outlineLevel="0" collapsed="false">
      <c r="A89" s="59"/>
      <c r="B89" s="60"/>
      <c r="C89" s="41" t="str">
        <f aca="false">IF(B89="","",IFERROR(INDEX(Setup!$A$9:$A$12,MATCH(B89,Setup!$B$9:$B$12,0)),"Ticker not in Setup"))</f>
        <v/>
      </c>
      <c r="D89" s="49"/>
      <c r="E89" s="39" t="str">
        <f aca="false">IF(D89="","",D89/Setup!$B$3)</f>
        <v/>
      </c>
      <c r="F89" s="39" t="str">
        <f aca="false">IF(E89="","",MAX(Setup!$B$5,Setup!$B$6*E89))</f>
        <v/>
      </c>
      <c r="G89" s="62"/>
      <c r="H89" s="42" t="str">
        <f aca="false">IF(OR(G89="",E89=""),"",(E89-F89)/G89)</f>
        <v/>
      </c>
      <c r="I89" s="60"/>
    </row>
    <row r="90" customFormat="false" ht="15" hidden="false" customHeight="false" outlineLevel="0" collapsed="false">
      <c r="A90" s="59"/>
      <c r="B90" s="60"/>
      <c r="C90" s="41" t="str">
        <f aca="false">IF(B90="","",IFERROR(INDEX(Setup!$A$9:$A$12,MATCH(B90,Setup!$B$9:$B$12,0)),"Ticker not in Setup"))</f>
        <v/>
      </c>
      <c r="D90" s="49"/>
      <c r="E90" s="39" t="str">
        <f aca="false">IF(D90="","",D90/Setup!$B$3)</f>
        <v/>
      </c>
      <c r="F90" s="39" t="str">
        <f aca="false">IF(E90="","",MAX(Setup!$B$5,Setup!$B$6*E90))</f>
        <v/>
      </c>
      <c r="G90" s="62"/>
      <c r="H90" s="42" t="str">
        <f aca="false">IF(OR(G90="",E90=""),"",(E90-F90)/G90)</f>
        <v/>
      </c>
      <c r="I90" s="60"/>
    </row>
    <row r="91" customFormat="false" ht="15" hidden="false" customHeight="false" outlineLevel="0" collapsed="false">
      <c r="A91" s="59"/>
      <c r="B91" s="60"/>
      <c r="C91" s="41" t="str">
        <f aca="false">IF(B91="","",IFERROR(INDEX(Setup!$A$9:$A$12,MATCH(B91,Setup!$B$9:$B$12,0)),"Ticker not in Setup"))</f>
        <v/>
      </c>
      <c r="D91" s="49"/>
      <c r="E91" s="39" t="str">
        <f aca="false">IF(D91="","",D91/Setup!$B$3)</f>
        <v/>
      </c>
      <c r="F91" s="39" t="str">
        <f aca="false">IF(E91="","",MAX(Setup!$B$5,Setup!$B$6*E91))</f>
        <v/>
      </c>
      <c r="G91" s="62"/>
      <c r="H91" s="42" t="str">
        <f aca="false">IF(OR(G91="",E91=""),"",(E91-F91)/G91)</f>
        <v/>
      </c>
      <c r="I91" s="60"/>
    </row>
    <row r="92" customFormat="false" ht="15" hidden="false" customHeight="false" outlineLevel="0" collapsed="false">
      <c r="A92" s="59"/>
      <c r="B92" s="60"/>
      <c r="C92" s="41" t="str">
        <f aca="false">IF(B92="","",IFERROR(INDEX(Setup!$A$9:$A$12,MATCH(B92,Setup!$B$9:$B$12,0)),"Ticker not in Setup"))</f>
        <v/>
      </c>
      <c r="D92" s="49"/>
      <c r="E92" s="39" t="str">
        <f aca="false">IF(D92="","",D92/Setup!$B$3)</f>
        <v/>
      </c>
      <c r="F92" s="39" t="str">
        <f aca="false">IF(E92="","",MAX(Setup!$B$5,Setup!$B$6*E92))</f>
        <v/>
      </c>
      <c r="G92" s="62"/>
      <c r="H92" s="42" t="str">
        <f aca="false">IF(OR(G92="",E92=""),"",(E92-F92)/G92)</f>
        <v/>
      </c>
      <c r="I92" s="60"/>
    </row>
    <row r="93" customFormat="false" ht="15" hidden="false" customHeight="false" outlineLevel="0" collapsed="false">
      <c r="A93" s="59"/>
      <c r="B93" s="60"/>
      <c r="C93" s="41" t="str">
        <f aca="false">IF(B93="","",IFERROR(INDEX(Setup!$A$9:$A$12,MATCH(B93,Setup!$B$9:$B$12,0)),"Ticker not in Setup"))</f>
        <v/>
      </c>
      <c r="D93" s="49"/>
      <c r="E93" s="39" t="str">
        <f aca="false">IF(D93="","",D93/Setup!$B$3)</f>
        <v/>
      </c>
      <c r="F93" s="39" t="str">
        <f aca="false">IF(E93="","",MAX(Setup!$B$5,Setup!$B$6*E93))</f>
        <v/>
      </c>
      <c r="G93" s="62"/>
      <c r="H93" s="42" t="str">
        <f aca="false">IF(OR(G93="",E93=""),"",(E93-F93)/G93)</f>
        <v/>
      </c>
      <c r="I93" s="60"/>
    </row>
    <row r="94" customFormat="false" ht="15" hidden="false" customHeight="false" outlineLevel="0" collapsed="false">
      <c r="A94" s="59"/>
      <c r="B94" s="60"/>
      <c r="C94" s="41" t="str">
        <f aca="false">IF(B94="","",IFERROR(INDEX(Setup!$A$9:$A$12,MATCH(B94,Setup!$B$9:$B$12,0)),"Ticker not in Setup"))</f>
        <v/>
      </c>
      <c r="D94" s="49"/>
      <c r="E94" s="39" t="str">
        <f aca="false">IF(D94="","",D94/Setup!$B$3)</f>
        <v/>
      </c>
      <c r="F94" s="39" t="str">
        <f aca="false">IF(E94="","",MAX(Setup!$B$5,Setup!$B$6*E94))</f>
        <v/>
      </c>
      <c r="G94" s="62"/>
      <c r="H94" s="42" t="str">
        <f aca="false">IF(OR(G94="",E94=""),"",(E94-F94)/G94)</f>
        <v/>
      </c>
      <c r="I94" s="60"/>
    </row>
    <row r="95" customFormat="false" ht="15" hidden="false" customHeight="false" outlineLevel="0" collapsed="false">
      <c r="A95" s="59"/>
      <c r="B95" s="60"/>
      <c r="C95" s="41" t="str">
        <f aca="false">IF(B95="","",IFERROR(INDEX(Setup!$A$9:$A$12,MATCH(B95,Setup!$B$9:$B$12,0)),"Ticker not in Setup"))</f>
        <v/>
      </c>
      <c r="D95" s="49"/>
      <c r="E95" s="39" t="str">
        <f aca="false">IF(D95="","",D95/Setup!$B$3)</f>
        <v/>
      </c>
      <c r="F95" s="39" t="str">
        <f aca="false">IF(E95="","",MAX(Setup!$B$5,Setup!$B$6*E95))</f>
        <v/>
      </c>
      <c r="G95" s="62"/>
      <c r="H95" s="42" t="str">
        <f aca="false">IF(OR(G95="",E95=""),"",(E95-F95)/G95)</f>
        <v/>
      </c>
      <c r="I95" s="60"/>
    </row>
    <row r="96" customFormat="false" ht="15" hidden="false" customHeight="false" outlineLevel="0" collapsed="false">
      <c r="A96" s="59"/>
      <c r="B96" s="60"/>
      <c r="C96" s="41" t="str">
        <f aca="false">IF(B96="","",IFERROR(INDEX(Setup!$A$9:$A$12,MATCH(B96,Setup!$B$9:$B$12,0)),"Ticker not in Setup"))</f>
        <v/>
      </c>
      <c r="D96" s="49"/>
      <c r="E96" s="39" t="str">
        <f aca="false">IF(D96="","",D96/Setup!$B$3)</f>
        <v/>
      </c>
      <c r="F96" s="39" t="str">
        <f aca="false">IF(E96="","",MAX(Setup!$B$5,Setup!$B$6*E96))</f>
        <v/>
      </c>
      <c r="G96" s="62"/>
      <c r="H96" s="42" t="str">
        <f aca="false">IF(OR(G96="",E96=""),"",(E96-F96)/G96)</f>
        <v/>
      </c>
      <c r="I96" s="60"/>
    </row>
    <row r="97" customFormat="false" ht="15" hidden="false" customHeight="false" outlineLevel="0" collapsed="false">
      <c r="A97" s="59"/>
      <c r="B97" s="60"/>
      <c r="C97" s="41" t="str">
        <f aca="false">IF(B97="","",IFERROR(INDEX(Setup!$A$9:$A$12,MATCH(B97,Setup!$B$9:$B$12,0)),"Ticker not in Setup"))</f>
        <v/>
      </c>
      <c r="D97" s="49"/>
      <c r="E97" s="39" t="str">
        <f aca="false">IF(D97="","",D97/Setup!$B$3)</f>
        <v/>
      </c>
      <c r="F97" s="39" t="str">
        <f aca="false">IF(E97="","",MAX(Setup!$B$5,Setup!$B$6*E97))</f>
        <v/>
      </c>
      <c r="G97" s="62"/>
      <c r="H97" s="42" t="str">
        <f aca="false">IF(OR(G97="",E97=""),"",(E97-F97)/G97)</f>
        <v/>
      </c>
      <c r="I97" s="60"/>
    </row>
    <row r="98" customFormat="false" ht="15" hidden="false" customHeight="false" outlineLevel="0" collapsed="false">
      <c r="A98" s="59"/>
      <c r="B98" s="60"/>
      <c r="C98" s="41" t="str">
        <f aca="false">IF(B98="","",IFERROR(INDEX(Setup!$A$9:$A$12,MATCH(B98,Setup!$B$9:$B$12,0)),"Ticker not in Setup"))</f>
        <v/>
      </c>
      <c r="D98" s="49"/>
      <c r="E98" s="39" t="str">
        <f aca="false">IF(D98="","",D98/Setup!$B$3)</f>
        <v/>
      </c>
      <c r="F98" s="39" t="str">
        <f aca="false">IF(E98="","",MAX(Setup!$B$5,Setup!$B$6*E98))</f>
        <v/>
      </c>
      <c r="G98" s="62"/>
      <c r="H98" s="42" t="str">
        <f aca="false">IF(OR(G98="",E98=""),"",(E98-F98)/G98)</f>
        <v/>
      </c>
      <c r="I98" s="60"/>
    </row>
    <row r="99" customFormat="false" ht="15" hidden="false" customHeight="false" outlineLevel="0" collapsed="false">
      <c r="A99" s="59"/>
      <c r="B99" s="60"/>
      <c r="C99" s="41" t="str">
        <f aca="false">IF(B99="","",IFERROR(INDEX(Setup!$A$9:$A$12,MATCH(B99,Setup!$B$9:$B$12,0)),"Ticker not in Setup"))</f>
        <v/>
      </c>
      <c r="D99" s="49"/>
      <c r="E99" s="39" t="str">
        <f aca="false">IF(D99="","",D99/Setup!$B$3)</f>
        <v/>
      </c>
      <c r="F99" s="39" t="str">
        <f aca="false">IF(E99="","",MAX(Setup!$B$5,Setup!$B$6*E99))</f>
        <v/>
      </c>
      <c r="G99" s="62"/>
      <c r="H99" s="42" t="str">
        <f aca="false">IF(OR(G99="",E99=""),"",(E99-F99)/G99)</f>
        <v/>
      </c>
      <c r="I99" s="60"/>
    </row>
    <row r="100" customFormat="false" ht="15" hidden="false" customHeight="false" outlineLevel="0" collapsed="false">
      <c r="A100" s="59"/>
      <c r="B100" s="60"/>
      <c r="C100" s="41" t="str">
        <f aca="false">IF(B100="","",IFERROR(INDEX(Setup!$A$9:$A$12,MATCH(B100,Setup!$B$9:$B$12,0)),"Ticker not in Setup"))</f>
        <v/>
      </c>
      <c r="D100" s="49"/>
      <c r="E100" s="39" t="str">
        <f aca="false">IF(D100="","",D100/Setup!$B$3)</f>
        <v/>
      </c>
      <c r="F100" s="39" t="str">
        <f aca="false">IF(E100="","",MAX(Setup!$B$5,Setup!$B$6*E100))</f>
        <v/>
      </c>
      <c r="G100" s="62"/>
      <c r="H100" s="42" t="str">
        <f aca="false">IF(OR(G100="",E100=""),"",(E100-F100)/G100)</f>
        <v/>
      </c>
      <c r="I100" s="60"/>
    </row>
    <row r="101" customFormat="false" ht="15" hidden="false" customHeight="false" outlineLevel="0" collapsed="false">
      <c r="A101" s="59"/>
      <c r="B101" s="60"/>
      <c r="C101" s="41" t="str">
        <f aca="false">IF(B101="","",IFERROR(INDEX(Setup!$A$9:$A$12,MATCH(B101,Setup!$B$9:$B$12,0)),"Ticker not in Setup"))</f>
        <v/>
      </c>
      <c r="D101" s="49"/>
      <c r="E101" s="39" t="str">
        <f aca="false">IF(D101="","",D101/Setup!$B$3)</f>
        <v/>
      </c>
      <c r="F101" s="39" t="str">
        <f aca="false">IF(E101="","",MAX(Setup!$B$5,Setup!$B$6*E101))</f>
        <v/>
      </c>
      <c r="G101" s="62"/>
      <c r="H101" s="42" t="str">
        <f aca="false">IF(OR(G101="",E101=""),"",(E101-F101)/G101)</f>
        <v/>
      </c>
      <c r="I101" s="60"/>
    </row>
    <row r="102" customFormat="false" ht="15" hidden="false" customHeight="false" outlineLevel="0" collapsed="false">
      <c r="A102" s="59"/>
      <c r="B102" s="60"/>
      <c r="C102" s="41" t="str">
        <f aca="false">IF(B102="","",IFERROR(INDEX(Setup!$A$9:$A$12,MATCH(B102,Setup!$B$9:$B$12,0)),"Ticker not in Setup"))</f>
        <v/>
      </c>
      <c r="D102" s="49"/>
      <c r="E102" s="39" t="str">
        <f aca="false">IF(D102="","",D102/Setup!$B$3)</f>
        <v/>
      </c>
      <c r="F102" s="39" t="str">
        <f aca="false">IF(E102="","",MAX(Setup!$B$5,Setup!$B$6*E102))</f>
        <v/>
      </c>
      <c r="G102" s="62"/>
      <c r="H102" s="42" t="str">
        <f aca="false">IF(OR(G102="",E102=""),"",(E102-F102)/G102)</f>
        <v/>
      </c>
      <c r="I102" s="60"/>
    </row>
    <row r="103" customFormat="false" ht="15" hidden="false" customHeight="false" outlineLevel="0" collapsed="false">
      <c r="A103" s="59"/>
      <c r="B103" s="60"/>
      <c r="C103" s="41" t="str">
        <f aca="false">IF(B103="","",IFERROR(INDEX(Setup!$A$9:$A$12,MATCH(B103,Setup!$B$9:$B$12,0)),"Ticker not in Setup"))</f>
        <v/>
      </c>
      <c r="D103" s="49"/>
      <c r="E103" s="39" t="str">
        <f aca="false">IF(D103="","",D103/Setup!$B$3)</f>
        <v/>
      </c>
      <c r="F103" s="39" t="str">
        <f aca="false">IF(E103="","",MAX(Setup!$B$5,Setup!$B$6*E103))</f>
        <v/>
      </c>
      <c r="G103" s="62"/>
      <c r="H103" s="42" t="str">
        <f aca="false">IF(OR(G103="",E103=""),"",(E103-F103)/G103)</f>
        <v/>
      </c>
      <c r="I103" s="60"/>
    </row>
    <row r="104" customFormat="false" ht="15" hidden="false" customHeight="false" outlineLevel="0" collapsed="false">
      <c r="A104" s="59"/>
      <c r="B104" s="60"/>
      <c r="C104" s="41" t="str">
        <f aca="false">IF(B104="","",IFERROR(INDEX(Setup!$A$9:$A$12,MATCH(B104,Setup!$B$9:$B$12,0)),"Ticker not in Setup"))</f>
        <v/>
      </c>
      <c r="D104" s="49"/>
      <c r="E104" s="39" t="str">
        <f aca="false">IF(D104="","",D104/Setup!$B$3)</f>
        <v/>
      </c>
      <c r="F104" s="39" t="str">
        <f aca="false">IF(E104="","",MAX(Setup!$B$5,Setup!$B$6*E104))</f>
        <v/>
      </c>
      <c r="G104" s="62"/>
      <c r="H104" s="42" t="str">
        <f aca="false">IF(OR(G104="",E104=""),"",(E104-F104)/G104)</f>
        <v/>
      </c>
      <c r="I104" s="60"/>
    </row>
    <row r="105" customFormat="false" ht="15" hidden="false" customHeight="false" outlineLevel="0" collapsed="false">
      <c r="A105" s="59"/>
      <c r="B105" s="60"/>
      <c r="C105" s="41" t="str">
        <f aca="false">IF(B105="","",IFERROR(INDEX(Setup!$A$9:$A$12,MATCH(B105,Setup!$B$9:$B$12,0)),"Ticker not in Setup"))</f>
        <v/>
      </c>
      <c r="D105" s="49"/>
      <c r="E105" s="39" t="str">
        <f aca="false">IF(D105="","",D105/Setup!$B$3)</f>
        <v/>
      </c>
      <c r="F105" s="39" t="str">
        <f aca="false">IF(E105="","",MAX(Setup!$B$5,Setup!$B$6*E105))</f>
        <v/>
      </c>
      <c r="G105" s="62"/>
      <c r="H105" s="42" t="str">
        <f aca="false">IF(OR(G105="",E105=""),"",(E105-F105)/G105)</f>
        <v/>
      </c>
      <c r="I105" s="60"/>
    </row>
    <row r="106" customFormat="false" ht="15" hidden="false" customHeight="false" outlineLevel="0" collapsed="false">
      <c r="A106" s="59"/>
      <c r="B106" s="60"/>
      <c r="C106" s="41" t="str">
        <f aca="false">IF(B106="","",IFERROR(INDEX(Setup!$A$9:$A$12,MATCH(B106,Setup!$B$9:$B$12,0)),"Ticker not in Setup"))</f>
        <v/>
      </c>
      <c r="D106" s="49"/>
      <c r="E106" s="39" t="str">
        <f aca="false">IF(D106="","",D106/Setup!$B$3)</f>
        <v/>
      </c>
      <c r="F106" s="39" t="str">
        <f aca="false">IF(E106="","",MAX(Setup!$B$5,Setup!$B$6*E106))</f>
        <v/>
      </c>
      <c r="G106" s="62"/>
      <c r="H106" s="42" t="str">
        <f aca="false">IF(OR(G106="",E106=""),"",(E106-F106)/G106)</f>
        <v/>
      </c>
      <c r="I106" s="60"/>
    </row>
    <row r="107" customFormat="false" ht="15" hidden="false" customHeight="false" outlineLevel="0" collapsed="false">
      <c r="A107" s="59"/>
      <c r="B107" s="60"/>
      <c r="C107" s="41" t="str">
        <f aca="false">IF(B107="","",IFERROR(INDEX(Setup!$A$9:$A$12,MATCH(B107,Setup!$B$9:$B$12,0)),"Ticker not in Setup"))</f>
        <v/>
      </c>
      <c r="D107" s="49"/>
      <c r="E107" s="39" t="str">
        <f aca="false">IF(D107="","",D107/Setup!$B$3)</f>
        <v/>
      </c>
      <c r="F107" s="39" t="str">
        <f aca="false">IF(E107="","",MAX(Setup!$B$5,Setup!$B$6*E107))</f>
        <v/>
      </c>
      <c r="G107" s="62"/>
      <c r="H107" s="42" t="str">
        <f aca="false">IF(OR(G107="",E107=""),"",(E107-F107)/G107)</f>
        <v/>
      </c>
      <c r="I107" s="60"/>
    </row>
    <row r="108" customFormat="false" ht="15" hidden="false" customHeight="false" outlineLevel="0" collapsed="false">
      <c r="A108" s="59"/>
      <c r="B108" s="60"/>
      <c r="C108" s="41" t="str">
        <f aca="false">IF(B108="","",IFERROR(INDEX(Setup!$A$9:$A$12,MATCH(B108,Setup!$B$9:$B$12,0)),"Ticker not in Setup"))</f>
        <v/>
      </c>
      <c r="D108" s="49"/>
      <c r="E108" s="39" t="str">
        <f aca="false">IF(D108="","",D108/Setup!$B$3)</f>
        <v/>
      </c>
      <c r="F108" s="39" t="str">
        <f aca="false">IF(E108="","",MAX(Setup!$B$5,Setup!$B$6*E108))</f>
        <v/>
      </c>
      <c r="G108" s="62"/>
      <c r="H108" s="42" t="str">
        <f aca="false">IF(OR(G108="",E108=""),"",(E108-F108)/G108)</f>
        <v/>
      </c>
      <c r="I108" s="60"/>
    </row>
    <row r="109" customFormat="false" ht="15" hidden="false" customHeight="false" outlineLevel="0" collapsed="false">
      <c r="A109" s="59"/>
      <c r="B109" s="60"/>
      <c r="C109" s="41" t="str">
        <f aca="false">IF(B109="","",IFERROR(INDEX(Setup!$A$9:$A$12,MATCH(B109,Setup!$B$9:$B$12,0)),"Ticker not in Setup"))</f>
        <v/>
      </c>
      <c r="D109" s="49"/>
      <c r="E109" s="39" t="str">
        <f aca="false">IF(D109="","",D109/Setup!$B$3)</f>
        <v/>
      </c>
      <c r="F109" s="39" t="str">
        <f aca="false">IF(E109="","",MAX(Setup!$B$5,Setup!$B$6*E109))</f>
        <v/>
      </c>
      <c r="G109" s="62"/>
      <c r="H109" s="42" t="str">
        <f aca="false">IF(OR(G109="",E109=""),"",(E109-F109)/G109)</f>
        <v/>
      </c>
      <c r="I109" s="60"/>
    </row>
    <row r="110" customFormat="false" ht="15" hidden="false" customHeight="false" outlineLevel="0" collapsed="false">
      <c r="A110" s="59"/>
      <c r="B110" s="60"/>
      <c r="C110" s="41" t="str">
        <f aca="false">IF(B110="","",IFERROR(INDEX(Setup!$A$9:$A$12,MATCH(B110,Setup!$B$9:$B$12,0)),"Ticker not in Setup"))</f>
        <v/>
      </c>
      <c r="D110" s="49"/>
      <c r="E110" s="39" t="str">
        <f aca="false">IF(D110="","",D110/Setup!$B$3)</f>
        <v/>
      </c>
      <c r="F110" s="39" t="str">
        <f aca="false">IF(E110="","",MAX(Setup!$B$5,Setup!$B$6*E110))</f>
        <v/>
      </c>
      <c r="G110" s="62"/>
      <c r="H110" s="42" t="str">
        <f aca="false">IF(OR(G110="",E110=""),"",(E110-F110)/G110)</f>
        <v/>
      </c>
      <c r="I110" s="60"/>
    </row>
    <row r="111" customFormat="false" ht="15" hidden="false" customHeight="false" outlineLevel="0" collapsed="false">
      <c r="A111" s="59"/>
      <c r="B111" s="60"/>
      <c r="C111" s="41" t="str">
        <f aca="false">IF(B111="","",IFERROR(INDEX(Setup!$A$9:$A$12,MATCH(B111,Setup!$B$9:$B$12,0)),"Ticker not in Setup"))</f>
        <v/>
      </c>
      <c r="D111" s="49"/>
      <c r="E111" s="39" t="str">
        <f aca="false">IF(D111="","",D111/Setup!$B$3)</f>
        <v/>
      </c>
      <c r="F111" s="39" t="str">
        <f aca="false">IF(E111="","",MAX(Setup!$B$5,Setup!$B$6*E111))</f>
        <v/>
      </c>
      <c r="G111" s="62"/>
      <c r="H111" s="42" t="str">
        <f aca="false">IF(OR(G111="",E111=""),"",(E111-F111)/G111)</f>
        <v/>
      </c>
      <c r="I111" s="60"/>
    </row>
    <row r="112" customFormat="false" ht="15" hidden="false" customHeight="false" outlineLevel="0" collapsed="false">
      <c r="A112" s="59"/>
      <c r="B112" s="60"/>
      <c r="C112" s="41" t="str">
        <f aca="false">IF(B112="","",IFERROR(INDEX(Setup!$A$9:$A$12,MATCH(B112,Setup!$B$9:$B$12,0)),"Ticker not in Setup"))</f>
        <v/>
      </c>
      <c r="D112" s="49"/>
      <c r="E112" s="39" t="str">
        <f aca="false">IF(D112="","",D112/Setup!$B$3)</f>
        <v/>
      </c>
      <c r="F112" s="39" t="str">
        <f aca="false">IF(E112="","",MAX(Setup!$B$5,Setup!$B$6*E112))</f>
        <v/>
      </c>
      <c r="G112" s="62"/>
      <c r="H112" s="42" t="str">
        <f aca="false">IF(OR(G112="",E112=""),"",(E112-F112)/G112)</f>
        <v/>
      </c>
      <c r="I112" s="60"/>
    </row>
    <row r="113" customFormat="false" ht="15" hidden="false" customHeight="false" outlineLevel="0" collapsed="false">
      <c r="A113" s="59"/>
      <c r="B113" s="60"/>
      <c r="C113" s="41" t="str">
        <f aca="false">IF(B113="","",IFERROR(INDEX(Setup!$A$9:$A$12,MATCH(B113,Setup!$B$9:$B$12,0)),"Ticker not in Setup"))</f>
        <v/>
      </c>
      <c r="D113" s="49"/>
      <c r="E113" s="39" t="str">
        <f aca="false">IF(D113="","",D113/Setup!$B$3)</f>
        <v/>
      </c>
      <c r="F113" s="39" t="str">
        <f aca="false">IF(E113="","",MAX(Setup!$B$5,Setup!$B$6*E113))</f>
        <v/>
      </c>
      <c r="G113" s="62"/>
      <c r="H113" s="42" t="str">
        <f aca="false">IF(OR(G113="",E113=""),"",(E113-F113)/G113)</f>
        <v/>
      </c>
      <c r="I113" s="60"/>
    </row>
    <row r="114" customFormat="false" ht="15" hidden="false" customHeight="false" outlineLevel="0" collapsed="false">
      <c r="A114" s="59"/>
      <c r="B114" s="60"/>
      <c r="C114" s="41" t="str">
        <f aca="false">IF(B114="","",IFERROR(INDEX(Setup!$A$9:$A$12,MATCH(B114,Setup!$B$9:$B$12,0)),"Ticker not in Setup"))</f>
        <v/>
      </c>
      <c r="D114" s="49"/>
      <c r="E114" s="39" t="str">
        <f aca="false">IF(D114="","",D114/Setup!$B$3)</f>
        <v/>
      </c>
      <c r="F114" s="39" t="str">
        <f aca="false">IF(E114="","",MAX(Setup!$B$5,Setup!$B$6*E114))</f>
        <v/>
      </c>
      <c r="G114" s="62"/>
      <c r="H114" s="42" t="str">
        <f aca="false">IF(OR(G114="",E114=""),"",(E114-F114)/G114)</f>
        <v/>
      </c>
      <c r="I114" s="60"/>
    </row>
    <row r="115" customFormat="false" ht="15" hidden="false" customHeight="false" outlineLevel="0" collapsed="false">
      <c r="A115" s="59"/>
      <c r="B115" s="60"/>
      <c r="C115" s="41" t="str">
        <f aca="false">IF(B115="","",IFERROR(INDEX(Setup!$A$9:$A$12,MATCH(B115,Setup!$B$9:$B$12,0)),"Ticker not in Setup"))</f>
        <v/>
      </c>
      <c r="D115" s="49"/>
      <c r="E115" s="39" t="str">
        <f aca="false">IF(D115="","",D115/Setup!$B$3)</f>
        <v/>
      </c>
      <c r="F115" s="39" t="str">
        <f aca="false">IF(E115="","",MAX(Setup!$B$5,Setup!$B$6*E115))</f>
        <v/>
      </c>
      <c r="G115" s="62"/>
      <c r="H115" s="42" t="str">
        <f aca="false">IF(OR(G115="",E115=""),"",(E115-F115)/G115)</f>
        <v/>
      </c>
      <c r="I115" s="60"/>
    </row>
    <row r="116" customFormat="false" ht="15" hidden="false" customHeight="false" outlineLevel="0" collapsed="false">
      <c r="A116" s="59"/>
      <c r="B116" s="60"/>
      <c r="C116" s="41" t="str">
        <f aca="false">IF(B116="","",IFERROR(INDEX(Setup!$A$9:$A$12,MATCH(B116,Setup!$B$9:$B$12,0)),"Ticker not in Setup"))</f>
        <v/>
      </c>
      <c r="D116" s="49"/>
      <c r="E116" s="39" t="str">
        <f aca="false">IF(D116="","",D116/Setup!$B$3)</f>
        <v/>
      </c>
      <c r="F116" s="39" t="str">
        <f aca="false">IF(E116="","",MAX(Setup!$B$5,Setup!$B$6*E116))</f>
        <v/>
      </c>
      <c r="G116" s="62"/>
      <c r="H116" s="42" t="str">
        <f aca="false">IF(OR(G116="",E116=""),"",(E116-F116)/G116)</f>
        <v/>
      </c>
      <c r="I116" s="60"/>
    </row>
    <row r="117" customFormat="false" ht="15" hidden="false" customHeight="false" outlineLevel="0" collapsed="false">
      <c r="A117" s="59"/>
      <c r="B117" s="60"/>
      <c r="C117" s="41" t="str">
        <f aca="false">IF(B117="","",IFERROR(INDEX(Setup!$A$9:$A$12,MATCH(B117,Setup!$B$9:$B$12,0)),"Ticker not in Setup"))</f>
        <v/>
      </c>
      <c r="D117" s="49"/>
      <c r="E117" s="39" t="str">
        <f aca="false">IF(D117="","",D117/Setup!$B$3)</f>
        <v/>
      </c>
      <c r="F117" s="39" t="str">
        <f aca="false">IF(E117="","",MAX(Setup!$B$5,Setup!$B$6*E117))</f>
        <v/>
      </c>
      <c r="G117" s="62"/>
      <c r="H117" s="42" t="str">
        <f aca="false">IF(OR(G117="",E117=""),"",(E117-F117)/G117)</f>
        <v/>
      </c>
      <c r="I117" s="60"/>
    </row>
    <row r="118" customFormat="false" ht="15" hidden="false" customHeight="false" outlineLevel="0" collapsed="false">
      <c r="A118" s="59"/>
      <c r="B118" s="60"/>
      <c r="C118" s="41" t="str">
        <f aca="false">IF(B118="","",IFERROR(INDEX(Setup!$A$9:$A$12,MATCH(B118,Setup!$B$9:$B$12,0)),"Ticker not in Setup"))</f>
        <v/>
      </c>
      <c r="D118" s="49"/>
      <c r="E118" s="39" t="str">
        <f aca="false">IF(D118="","",D118/Setup!$B$3)</f>
        <v/>
      </c>
      <c r="F118" s="39" t="str">
        <f aca="false">IF(E118="","",MAX(Setup!$B$5,Setup!$B$6*E118))</f>
        <v/>
      </c>
      <c r="G118" s="62"/>
      <c r="H118" s="42" t="str">
        <f aca="false">IF(OR(G118="",E118=""),"",(E118-F118)/G118)</f>
        <v/>
      </c>
      <c r="I118" s="60"/>
    </row>
    <row r="119" customFormat="false" ht="15" hidden="false" customHeight="false" outlineLevel="0" collapsed="false">
      <c r="A119" s="59"/>
      <c r="B119" s="60"/>
      <c r="C119" s="41" t="str">
        <f aca="false">IF(B119="","",IFERROR(INDEX(Setup!$A$9:$A$12,MATCH(B119,Setup!$B$9:$B$12,0)),"Ticker not in Setup"))</f>
        <v/>
      </c>
      <c r="D119" s="49"/>
      <c r="E119" s="39" t="str">
        <f aca="false">IF(D119="","",D119/Setup!$B$3)</f>
        <v/>
      </c>
      <c r="F119" s="39" t="str">
        <f aca="false">IF(E119="","",MAX(Setup!$B$5,Setup!$B$6*E119))</f>
        <v/>
      </c>
      <c r="G119" s="62"/>
      <c r="H119" s="42" t="str">
        <f aca="false">IF(OR(G119="",E119=""),"",(E119-F119)/G119)</f>
        <v/>
      </c>
      <c r="I119" s="60"/>
    </row>
    <row r="120" customFormat="false" ht="15" hidden="false" customHeight="false" outlineLevel="0" collapsed="false">
      <c r="A120" s="59"/>
      <c r="B120" s="60"/>
      <c r="C120" s="41" t="str">
        <f aca="false">IF(B120="","",IFERROR(INDEX(Setup!$A$9:$A$12,MATCH(B120,Setup!$B$9:$B$12,0)),"Ticker not in Setup"))</f>
        <v/>
      </c>
      <c r="D120" s="49"/>
      <c r="E120" s="39" t="str">
        <f aca="false">IF(D120="","",D120/Setup!$B$3)</f>
        <v/>
      </c>
      <c r="F120" s="39" t="str">
        <f aca="false">IF(E120="","",MAX(Setup!$B$5,Setup!$B$6*E120))</f>
        <v/>
      </c>
      <c r="G120" s="62"/>
      <c r="H120" s="42" t="str">
        <f aca="false">IF(OR(G120="",E120=""),"",(E120-F120)/G120)</f>
        <v/>
      </c>
      <c r="I120" s="60"/>
    </row>
    <row r="121" customFormat="false" ht="15" hidden="false" customHeight="false" outlineLevel="0" collapsed="false">
      <c r="A121" s="59"/>
      <c r="B121" s="60"/>
      <c r="C121" s="41" t="str">
        <f aca="false">IF(B121="","",IFERROR(INDEX(Setup!$A$9:$A$12,MATCH(B121,Setup!$B$9:$B$12,0)),"Ticker not in Setup"))</f>
        <v/>
      </c>
      <c r="D121" s="49"/>
      <c r="E121" s="39" t="str">
        <f aca="false">IF(D121="","",D121/Setup!$B$3)</f>
        <v/>
      </c>
      <c r="F121" s="39" t="str">
        <f aca="false">IF(E121="","",MAX(Setup!$B$5,Setup!$B$6*E121))</f>
        <v/>
      </c>
      <c r="G121" s="62"/>
      <c r="H121" s="42" t="str">
        <f aca="false">IF(OR(G121="",E121=""),"",(E121-F121)/G121)</f>
        <v/>
      </c>
      <c r="I121" s="60"/>
    </row>
    <row r="122" customFormat="false" ht="15" hidden="false" customHeight="false" outlineLevel="0" collapsed="false">
      <c r="A122" s="59"/>
      <c r="B122" s="60"/>
      <c r="C122" s="41" t="str">
        <f aca="false">IF(B122="","",IFERROR(INDEX(Setup!$A$9:$A$12,MATCH(B122,Setup!$B$9:$B$12,0)),"Ticker not in Setup"))</f>
        <v/>
      </c>
      <c r="D122" s="49"/>
      <c r="E122" s="39" t="str">
        <f aca="false">IF(D122="","",D122/Setup!$B$3)</f>
        <v/>
      </c>
      <c r="F122" s="39" t="str">
        <f aca="false">IF(E122="","",MAX(Setup!$B$5,Setup!$B$6*E122))</f>
        <v/>
      </c>
      <c r="G122" s="62"/>
      <c r="H122" s="42" t="str">
        <f aca="false">IF(OR(G122="",E122=""),"",(E122-F122)/G122)</f>
        <v/>
      </c>
      <c r="I122" s="60"/>
    </row>
    <row r="123" customFormat="false" ht="15" hidden="false" customHeight="false" outlineLevel="0" collapsed="false">
      <c r="A123" s="59"/>
      <c r="B123" s="60"/>
      <c r="C123" s="41" t="str">
        <f aca="false">IF(B123="","",IFERROR(INDEX(Setup!$A$9:$A$12,MATCH(B123,Setup!$B$9:$B$12,0)),"Ticker not in Setup"))</f>
        <v/>
      </c>
      <c r="D123" s="49"/>
      <c r="E123" s="39" t="str">
        <f aca="false">IF(D123="","",D123/Setup!$B$3)</f>
        <v/>
      </c>
      <c r="F123" s="39" t="str">
        <f aca="false">IF(E123="","",MAX(Setup!$B$5,Setup!$B$6*E123))</f>
        <v/>
      </c>
      <c r="G123" s="62"/>
      <c r="H123" s="42" t="str">
        <f aca="false">IF(OR(G123="",E123=""),"",(E123-F123)/G123)</f>
        <v/>
      </c>
      <c r="I123" s="60"/>
    </row>
    <row r="124" customFormat="false" ht="15" hidden="false" customHeight="false" outlineLevel="0" collapsed="false">
      <c r="A124" s="59"/>
      <c r="B124" s="60"/>
      <c r="C124" s="41" t="str">
        <f aca="false">IF(B124="","",IFERROR(INDEX(Setup!$A$9:$A$12,MATCH(B124,Setup!$B$9:$B$12,0)),"Ticker not in Setup"))</f>
        <v/>
      </c>
      <c r="D124" s="49"/>
      <c r="E124" s="39" t="str">
        <f aca="false">IF(D124="","",D124/Setup!$B$3)</f>
        <v/>
      </c>
      <c r="F124" s="39" t="str">
        <f aca="false">IF(E124="","",MAX(Setup!$B$5,Setup!$B$6*E124))</f>
        <v/>
      </c>
      <c r="G124" s="62"/>
      <c r="H124" s="42" t="str">
        <f aca="false">IF(OR(G124="",E124=""),"",(E124-F124)/G124)</f>
        <v/>
      </c>
      <c r="I124" s="60"/>
    </row>
    <row r="125" customFormat="false" ht="15" hidden="false" customHeight="false" outlineLevel="0" collapsed="false">
      <c r="A125" s="59"/>
      <c r="B125" s="60"/>
      <c r="C125" s="41" t="str">
        <f aca="false">IF(B125="","",IFERROR(INDEX(Setup!$A$9:$A$12,MATCH(B125,Setup!$B$9:$B$12,0)),"Ticker not in Setup"))</f>
        <v/>
      </c>
      <c r="D125" s="49"/>
      <c r="E125" s="39" t="str">
        <f aca="false">IF(D125="","",D125/Setup!$B$3)</f>
        <v/>
      </c>
      <c r="F125" s="39" t="str">
        <f aca="false">IF(E125="","",MAX(Setup!$B$5,Setup!$B$6*E125))</f>
        <v/>
      </c>
      <c r="G125" s="62"/>
      <c r="H125" s="42" t="str">
        <f aca="false">IF(OR(G125="",E125=""),"",(E125-F125)/G125)</f>
        <v/>
      </c>
      <c r="I125" s="60"/>
    </row>
    <row r="126" customFormat="false" ht="15" hidden="false" customHeight="false" outlineLevel="0" collapsed="false">
      <c r="A126" s="59"/>
      <c r="B126" s="60"/>
      <c r="C126" s="41" t="str">
        <f aca="false">IF(B126="","",IFERROR(INDEX(Setup!$A$9:$A$12,MATCH(B126,Setup!$B$9:$B$12,0)),"Ticker not in Setup"))</f>
        <v/>
      </c>
      <c r="D126" s="49"/>
      <c r="E126" s="39" t="str">
        <f aca="false">IF(D126="","",D126/Setup!$B$3)</f>
        <v/>
      </c>
      <c r="F126" s="39" t="str">
        <f aca="false">IF(E126="","",MAX(Setup!$B$5,Setup!$B$6*E126))</f>
        <v/>
      </c>
      <c r="G126" s="62"/>
      <c r="H126" s="42" t="str">
        <f aca="false">IF(OR(G126="",E126=""),"",(E126-F126)/G126)</f>
        <v/>
      </c>
      <c r="I126" s="60"/>
    </row>
    <row r="127" customFormat="false" ht="15" hidden="false" customHeight="false" outlineLevel="0" collapsed="false">
      <c r="A127" s="59"/>
      <c r="B127" s="60"/>
      <c r="C127" s="41" t="str">
        <f aca="false">IF(B127="","",IFERROR(INDEX(Setup!$A$9:$A$12,MATCH(B127,Setup!$B$9:$B$12,0)),"Ticker not in Setup"))</f>
        <v/>
      </c>
      <c r="D127" s="49"/>
      <c r="E127" s="39" t="str">
        <f aca="false">IF(D127="","",D127/Setup!$B$3)</f>
        <v/>
      </c>
      <c r="F127" s="39" t="str">
        <f aca="false">IF(E127="","",MAX(Setup!$B$5,Setup!$B$6*E127))</f>
        <v/>
      </c>
      <c r="G127" s="62"/>
      <c r="H127" s="42" t="str">
        <f aca="false">IF(OR(G127="",E127=""),"",(E127-F127)/G127)</f>
        <v/>
      </c>
      <c r="I127" s="60"/>
    </row>
    <row r="128" customFormat="false" ht="15" hidden="false" customHeight="false" outlineLevel="0" collapsed="false">
      <c r="A128" s="59"/>
      <c r="B128" s="60"/>
      <c r="C128" s="41" t="str">
        <f aca="false">IF(B128="","",IFERROR(INDEX(Setup!$A$9:$A$12,MATCH(B128,Setup!$B$9:$B$12,0)),"Ticker not in Setup"))</f>
        <v/>
      </c>
      <c r="D128" s="49"/>
      <c r="E128" s="39" t="str">
        <f aca="false">IF(D128="","",D128/Setup!$B$3)</f>
        <v/>
      </c>
      <c r="F128" s="39" t="str">
        <f aca="false">IF(E128="","",MAX(Setup!$B$5,Setup!$B$6*E128))</f>
        <v/>
      </c>
      <c r="G128" s="62"/>
      <c r="H128" s="42" t="str">
        <f aca="false">IF(OR(G128="",E128=""),"",(E128-F128)/G128)</f>
        <v/>
      </c>
      <c r="I128" s="60"/>
    </row>
    <row r="129" customFormat="false" ht="15" hidden="false" customHeight="false" outlineLevel="0" collapsed="false">
      <c r="A129" s="59"/>
      <c r="B129" s="60"/>
      <c r="C129" s="41" t="str">
        <f aca="false">IF(B129="","",IFERROR(INDEX(Setup!$A$9:$A$12,MATCH(B129,Setup!$B$9:$B$12,0)),"Ticker not in Setup"))</f>
        <v/>
      </c>
      <c r="D129" s="49"/>
      <c r="E129" s="39" t="str">
        <f aca="false">IF(D129="","",D129/Setup!$B$3)</f>
        <v/>
      </c>
      <c r="F129" s="39" t="str">
        <f aca="false">IF(E129="","",MAX(Setup!$B$5,Setup!$B$6*E129))</f>
        <v/>
      </c>
      <c r="G129" s="62"/>
      <c r="H129" s="42" t="str">
        <f aca="false">IF(OR(G129="",E129=""),"",(E129-F129)/G129)</f>
        <v/>
      </c>
      <c r="I129" s="60"/>
    </row>
    <row r="130" customFormat="false" ht="15" hidden="false" customHeight="false" outlineLevel="0" collapsed="false">
      <c r="A130" s="59"/>
      <c r="B130" s="60"/>
      <c r="C130" s="41" t="str">
        <f aca="false">IF(B130="","",IFERROR(INDEX(Setup!$A$9:$A$12,MATCH(B130,Setup!$B$9:$B$12,0)),"Ticker not in Setup"))</f>
        <v/>
      </c>
      <c r="D130" s="49"/>
      <c r="E130" s="39" t="str">
        <f aca="false">IF(D130="","",D130/Setup!$B$3)</f>
        <v/>
      </c>
      <c r="F130" s="39" t="str">
        <f aca="false">IF(E130="","",MAX(Setup!$B$5,Setup!$B$6*E130))</f>
        <v/>
      </c>
      <c r="G130" s="62"/>
      <c r="H130" s="42" t="str">
        <f aca="false">IF(OR(G130="",E130=""),"",(E130-F130)/G130)</f>
        <v/>
      </c>
      <c r="I130" s="60"/>
    </row>
    <row r="131" customFormat="false" ht="15" hidden="false" customHeight="false" outlineLevel="0" collapsed="false">
      <c r="A131" s="59"/>
      <c r="B131" s="60"/>
      <c r="C131" s="41" t="str">
        <f aca="false">IF(B131="","",IFERROR(INDEX(Setup!$A$9:$A$12,MATCH(B131,Setup!$B$9:$B$12,0)),"Ticker not in Setup"))</f>
        <v/>
      </c>
      <c r="D131" s="49"/>
      <c r="E131" s="39" t="str">
        <f aca="false">IF(D131="","",D131/Setup!$B$3)</f>
        <v/>
      </c>
      <c r="F131" s="39" t="str">
        <f aca="false">IF(E131="","",MAX(Setup!$B$5,Setup!$B$6*E131))</f>
        <v/>
      </c>
      <c r="G131" s="62"/>
      <c r="H131" s="42" t="str">
        <f aca="false">IF(OR(G131="",E131=""),"",(E131-F131)/G131)</f>
        <v/>
      </c>
      <c r="I131" s="60"/>
    </row>
    <row r="132" customFormat="false" ht="15" hidden="false" customHeight="false" outlineLevel="0" collapsed="false">
      <c r="A132" s="59"/>
      <c r="B132" s="60"/>
      <c r="C132" s="41" t="str">
        <f aca="false">IF(B132="","",IFERROR(INDEX(Setup!$A$9:$A$12,MATCH(B132,Setup!$B$9:$B$12,0)),"Ticker not in Setup"))</f>
        <v/>
      </c>
      <c r="D132" s="49"/>
      <c r="E132" s="39" t="str">
        <f aca="false">IF(D132="","",D132/Setup!$B$3)</f>
        <v/>
      </c>
      <c r="F132" s="39" t="str">
        <f aca="false">IF(E132="","",MAX(Setup!$B$5,Setup!$B$6*E132))</f>
        <v/>
      </c>
      <c r="G132" s="62"/>
      <c r="H132" s="42" t="str">
        <f aca="false">IF(OR(G132="",E132=""),"",(E132-F132)/G132)</f>
        <v/>
      </c>
      <c r="I132" s="60"/>
    </row>
    <row r="133" customFormat="false" ht="15" hidden="false" customHeight="false" outlineLevel="0" collapsed="false">
      <c r="A133" s="59"/>
      <c r="B133" s="60"/>
      <c r="C133" s="41" t="str">
        <f aca="false">IF(B133="","",IFERROR(INDEX(Setup!$A$9:$A$12,MATCH(B133,Setup!$B$9:$B$12,0)),"Ticker not in Setup"))</f>
        <v/>
      </c>
      <c r="D133" s="49"/>
      <c r="E133" s="39" t="str">
        <f aca="false">IF(D133="","",D133/Setup!$B$3)</f>
        <v/>
      </c>
      <c r="F133" s="39" t="str">
        <f aca="false">IF(E133="","",MAX(Setup!$B$5,Setup!$B$6*E133))</f>
        <v/>
      </c>
      <c r="G133" s="62"/>
      <c r="H133" s="42" t="str">
        <f aca="false">IF(OR(G133="",E133=""),"",(E133-F133)/G133)</f>
        <v/>
      </c>
      <c r="I133" s="60"/>
    </row>
    <row r="134" customFormat="false" ht="15" hidden="false" customHeight="false" outlineLevel="0" collapsed="false">
      <c r="A134" s="59"/>
      <c r="B134" s="60"/>
      <c r="C134" s="41" t="str">
        <f aca="false">IF(B134="","",IFERROR(INDEX(Setup!$A$9:$A$12,MATCH(B134,Setup!$B$9:$B$12,0)),"Ticker not in Setup"))</f>
        <v/>
      </c>
      <c r="D134" s="49"/>
      <c r="E134" s="39" t="str">
        <f aca="false">IF(D134="","",D134/Setup!$B$3)</f>
        <v/>
      </c>
      <c r="F134" s="39" t="str">
        <f aca="false">IF(E134="","",MAX(Setup!$B$5,Setup!$B$6*E134))</f>
        <v/>
      </c>
      <c r="G134" s="62"/>
      <c r="H134" s="42" t="str">
        <f aca="false">IF(OR(G134="",E134=""),"",(E134-F134)/G134)</f>
        <v/>
      </c>
      <c r="I134" s="60"/>
    </row>
    <row r="135" customFormat="false" ht="15" hidden="false" customHeight="false" outlineLevel="0" collapsed="false">
      <c r="A135" s="59"/>
      <c r="B135" s="60"/>
      <c r="C135" s="41" t="str">
        <f aca="false">IF(B135="","",IFERROR(INDEX(Setup!$A$9:$A$12,MATCH(B135,Setup!$B$9:$B$12,0)),"Ticker not in Setup"))</f>
        <v/>
      </c>
      <c r="D135" s="49"/>
      <c r="E135" s="39" t="str">
        <f aca="false">IF(D135="","",D135/Setup!$B$3)</f>
        <v/>
      </c>
      <c r="F135" s="39" t="str">
        <f aca="false">IF(E135="","",MAX(Setup!$B$5,Setup!$B$6*E135))</f>
        <v/>
      </c>
      <c r="G135" s="62"/>
      <c r="H135" s="42" t="str">
        <f aca="false">IF(OR(G135="",E135=""),"",(E135-F135)/G135)</f>
        <v/>
      </c>
      <c r="I135" s="60"/>
    </row>
    <row r="136" customFormat="false" ht="15" hidden="false" customHeight="false" outlineLevel="0" collapsed="false">
      <c r="A136" s="59"/>
      <c r="B136" s="60"/>
      <c r="C136" s="41" t="str">
        <f aca="false">IF(B136="","",IFERROR(INDEX(Setup!$A$9:$A$12,MATCH(B136,Setup!$B$9:$B$12,0)),"Ticker not in Setup"))</f>
        <v/>
      </c>
      <c r="D136" s="49"/>
      <c r="E136" s="39" t="str">
        <f aca="false">IF(D136="","",D136/Setup!$B$3)</f>
        <v/>
      </c>
      <c r="F136" s="39" t="str">
        <f aca="false">IF(E136="","",MAX(Setup!$B$5,Setup!$B$6*E136))</f>
        <v/>
      </c>
      <c r="G136" s="62"/>
      <c r="H136" s="42" t="str">
        <f aca="false">IF(OR(G136="",E136=""),"",(E136-F136)/G136)</f>
        <v/>
      </c>
      <c r="I136" s="60"/>
    </row>
    <row r="137" customFormat="false" ht="15" hidden="false" customHeight="false" outlineLevel="0" collapsed="false">
      <c r="A137" s="59"/>
      <c r="B137" s="60"/>
      <c r="C137" s="41" t="str">
        <f aca="false">IF(B137="","",IFERROR(INDEX(Setup!$A$9:$A$12,MATCH(B137,Setup!$B$9:$B$12,0)),"Ticker not in Setup"))</f>
        <v/>
      </c>
      <c r="D137" s="49"/>
      <c r="E137" s="39" t="str">
        <f aca="false">IF(D137="","",D137/Setup!$B$3)</f>
        <v/>
      </c>
      <c r="F137" s="39" t="str">
        <f aca="false">IF(E137="","",MAX(Setup!$B$5,Setup!$B$6*E137))</f>
        <v/>
      </c>
      <c r="G137" s="62"/>
      <c r="H137" s="42" t="str">
        <f aca="false">IF(OR(G137="",E137=""),"",(E137-F137)/G137)</f>
        <v/>
      </c>
      <c r="I137" s="60"/>
    </row>
    <row r="138" customFormat="false" ht="15" hidden="false" customHeight="false" outlineLevel="0" collapsed="false">
      <c r="A138" s="59"/>
      <c r="B138" s="60"/>
      <c r="C138" s="41" t="str">
        <f aca="false">IF(B138="","",IFERROR(INDEX(Setup!$A$9:$A$12,MATCH(B138,Setup!$B$9:$B$12,0)),"Ticker not in Setup"))</f>
        <v/>
      </c>
      <c r="D138" s="49"/>
      <c r="E138" s="39" t="str">
        <f aca="false">IF(D138="","",D138/Setup!$B$3)</f>
        <v/>
      </c>
      <c r="F138" s="39" t="str">
        <f aca="false">IF(E138="","",MAX(Setup!$B$5,Setup!$B$6*E138))</f>
        <v/>
      </c>
      <c r="G138" s="62"/>
      <c r="H138" s="42" t="str">
        <f aca="false">IF(OR(G138="",E138=""),"",(E138-F138)/G138)</f>
        <v/>
      </c>
      <c r="I138" s="60"/>
    </row>
    <row r="139" customFormat="false" ht="15" hidden="false" customHeight="false" outlineLevel="0" collapsed="false">
      <c r="A139" s="59"/>
      <c r="B139" s="60"/>
      <c r="C139" s="41" t="str">
        <f aca="false">IF(B139="","",IFERROR(INDEX(Setup!$A$9:$A$12,MATCH(B139,Setup!$B$9:$B$12,0)),"Ticker not in Setup"))</f>
        <v/>
      </c>
      <c r="D139" s="49"/>
      <c r="E139" s="39" t="str">
        <f aca="false">IF(D139="","",D139/Setup!$B$3)</f>
        <v/>
      </c>
      <c r="F139" s="39" t="str">
        <f aca="false">IF(E139="","",MAX(Setup!$B$5,Setup!$B$6*E139))</f>
        <v/>
      </c>
      <c r="G139" s="62"/>
      <c r="H139" s="42" t="str">
        <f aca="false">IF(OR(G139="",E139=""),"",(E139-F139)/G139)</f>
        <v/>
      </c>
      <c r="I139" s="60"/>
    </row>
    <row r="140" customFormat="false" ht="15" hidden="false" customHeight="false" outlineLevel="0" collapsed="false">
      <c r="A140" s="59"/>
      <c r="B140" s="60"/>
      <c r="C140" s="41" t="str">
        <f aca="false">IF(B140="","",IFERROR(INDEX(Setup!$A$9:$A$12,MATCH(B140,Setup!$B$9:$B$12,0)),"Ticker not in Setup"))</f>
        <v/>
      </c>
      <c r="D140" s="49"/>
      <c r="E140" s="39" t="str">
        <f aca="false">IF(D140="","",D140/Setup!$B$3)</f>
        <v/>
      </c>
      <c r="F140" s="39" t="str">
        <f aca="false">IF(E140="","",MAX(Setup!$B$5,Setup!$B$6*E140))</f>
        <v/>
      </c>
      <c r="G140" s="62"/>
      <c r="H140" s="42" t="str">
        <f aca="false">IF(OR(G140="",E140=""),"",(E140-F140)/G140)</f>
        <v/>
      </c>
      <c r="I140" s="60"/>
    </row>
    <row r="141" customFormat="false" ht="15" hidden="false" customHeight="false" outlineLevel="0" collapsed="false">
      <c r="A141" s="59"/>
      <c r="B141" s="60"/>
      <c r="C141" s="41" t="str">
        <f aca="false">IF(B141="","",IFERROR(INDEX(Setup!$A$9:$A$12,MATCH(B141,Setup!$B$9:$B$12,0)),"Ticker not in Setup"))</f>
        <v/>
      </c>
      <c r="D141" s="49"/>
      <c r="E141" s="39" t="str">
        <f aca="false">IF(D141="","",D141/Setup!$B$3)</f>
        <v/>
      </c>
      <c r="F141" s="39" t="str">
        <f aca="false">IF(E141="","",MAX(Setup!$B$5,Setup!$B$6*E141))</f>
        <v/>
      </c>
      <c r="G141" s="62"/>
      <c r="H141" s="42" t="str">
        <f aca="false">IF(OR(G141="",E141=""),"",(E141-F141)/G141)</f>
        <v/>
      </c>
      <c r="I141" s="60"/>
    </row>
    <row r="142" customFormat="false" ht="15" hidden="false" customHeight="false" outlineLevel="0" collapsed="false">
      <c r="A142" s="59"/>
      <c r="B142" s="60"/>
      <c r="C142" s="41" t="str">
        <f aca="false">IF(B142="","",IFERROR(INDEX(Setup!$A$9:$A$12,MATCH(B142,Setup!$B$9:$B$12,0)),"Ticker not in Setup"))</f>
        <v/>
      </c>
      <c r="D142" s="49"/>
      <c r="E142" s="39" t="str">
        <f aca="false">IF(D142="","",D142/Setup!$B$3)</f>
        <v/>
      </c>
      <c r="F142" s="39" t="str">
        <f aca="false">IF(E142="","",MAX(Setup!$B$5,Setup!$B$6*E142))</f>
        <v/>
      </c>
      <c r="G142" s="62"/>
      <c r="H142" s="42" t="str">
        <f aca="false">IF(OR(G142="",E142=""),"",(E142-F142)/G142)</f>
        <v/>
      </c>
      <c r="I142" s="60"/>
    </row>
    <row r="143" customFormat="false" ht="15" hidden="false" customHeight="false" outlineLevel="0" collapsed="false">
      <c r="A143" s="59"/>
      <c r="B143" s="60"/>
      <c r="C143" s="41" t="str">
        <f aca="false">IF(B143="","",IFERROR(INDEX(Setup!$A$9:$A$12,MATCH(B143,Setup!$B$9:$B$12,0)),"Ticker not in Setup"))</f>
        <v/>
      </c>
      <c r="D143" s="49"/>
      <c r="E143" s="39" t="str">
        <f aca="false">IF(D143="","",D143/Setup!$B$3)</f>
        <v/>
      </c>
      <c r="F143" s="39" t="str">
        <f aca="false">IF(E143="","",MAX(Setup!$B$5,Setup!$B$6*E143))</f>
        <v/>
      </c>
      <c r="G143" s="62"/>
      <c r="H143" s="42" t="str">
        <f aca="false">IF(OR(G143="",E143=""),"",(E143-F143)/G143)</f>
        <v/>
      </c>
      <c r="I143" s="60"/>
    </row>
    <row r="144" customFormat="false" ht="15" hidden="false" customHeight="false" outlineLevel="0" collapsed="false">
      <c r="A144" s="59"/>
      <c r="B144" s="60"/>
      <c r="C144" s="41" t="str">
        <f aca="false">IF(B144="","",IFERROR(INDEX(Setup!$A$9:$A$12,MATCH(B144,Setup!$B$9:$B$12,0)),"Ticker not in Setup"))</f>
        <v/>
      </c>
      <c r="D144" s="49"/>
      <c r="E144" s="39" t="str">
        <f aca="false">IF(D144="","",D144/Setup!$B$3)</f>
        <v/>
      </c>
      <c r="F144" s="39" t="str">
        <f aca="false">IF(E144="","",MAX(Setup!$B$5,Setup!$B$6*E144))</f>
        <v/>
      </c>
      <c r="G144" s="62"/>
      <c r="H144" s="42" t="str">
        <f aca="false">IF(OR(G144="",E144=""),"",(E144-F144)/G144)</f>
        <v/>
      </c>
      <c r="I144" s="60"/>
    </row>
    <row r="145" customFormat="false" ht="15" hidden="false" customHeight="false" outlineLevel="0" collapsed="false">
      <c r="A145" s="59"/>
      <c r="B145" s="60"/>
      <c r="C145" s="41" t="str">
        <f aca="false">IF(B145="","",IFERROR(INDEX(Setup!$A$9:$A$12,MATCH(B145,Setup!$B$9:$B$12,0)),"Ticker not in Setup"))</f>
        <v/>
      </c>
      <c r="D145" s="49"/>
      <c r="E145" s="39" t="str">
        <f aca="false">IF(D145="","",D145/Setup!$B$3)</f>
        <v/>
      </c>
      <c r="F145" s="39" t="str">
        <f aca="false">IF(E145="","",MAX(Setup!$B$5,Setup!$B$6*E145))</f>
        <v/>
      </c>
      <c r="G145" s="62"/>
      <c r="H145" s="42" t="str">
        <f aca="false">IF(OR(G145="",E145=""),"",(E145-F145)/G145)</f>
        <v/>
      </c>
      <c r="I145" s="60"/>
    </row>
    <row r="146" customFormat="false" ht="15" hidden="false" customHeight="false" outlineLevel="0" collapsed="false">
      <c r="A146" s="59"/>
      <c r="B146" s="60"/>
      <c r="C146" s="41" t="str">
        <f aca="false">IF(B146="","",IFERROR(INDEX(Setup!$A$9:$A$12,MATCH(B146,Setup!$B$9:$B$12,0)),"Ticker not in Setup"))</f>
        <v/>
      </c>
      <c r="D146" s="49"/>
      <c r="E146" s="39" t="str">
        <f aca="false">IF(D146="","",D146/Setup!$B$3)</f>
        <v/>
      </c>
      <c r="F146" s="39" t="str">
        <f aca="false">IF(E146="","",MAX(Setup!$B$5,Setup!$B$6*E146))</f>
        <v/>
      </c>
      <c r="G146" s="62"/>
      <c r="H146" s="42" t="str">
        <f aca="false">IF(OR(G146="",E146=""),"",(E146-F146)/G146)</f>
        <v/>
      </c>
      <c r="I146" s="60"/>
    </row>
    <row r="147" customFormat="false" ht="15" hidden="false" customHeight="false" outlineLevel="0" collapsed="false">
      <c r="A147" s="59"/>
      <c r="B147" s="60"/>
      <c r="C147" s="41" t="str">
        <f aca="false">IF(B147="","",IFERROR(INDEX(Setup!$A$9:$A$12,MATCH(B147,Setup!$B$9:$B$12,0)),"Ticker not in Setup"))</f>
        <v/>
      </c>
      <c r="D147" s="49"/>
      <c r="E147" s="39" t="str">
        <f aca="false">IF(D147="","",D147/Setup!$B$3)</f>
        <v/>
      </c>
      <c r="F147" s="39" t="str">
        <f aca="false">IF(E147="","",MAX(Setup!$B$5,Setup!$B$6*E147))</f>
        <v/>
      </c>
      <c r="G147" s="62"/>
      <c r="H147" s="42" t="str">
        <f aca="false">IF(OR(G147="",E147=""),"",(E147-F147)/G147)</f>
        <v/>
      </c>
      <c r="I147" s="60"/>
    </row>
    <row r="148" customFormat="false" ht="15" hidden="false" customHeight="false" outlineLevel="0" collapsed="false">
      <c r="A148" s="59"/>
      <c r="B148" s="60"/>
      <c r="C148" s="41" t="str">
        <f aca="false">IF(B148="","",IFERROR(INDEX(Setup!$A$9:$A$12,MATCH(B148,Setup!$B$9:$B$12,0)),"Ticker not in Setup"))</f>
        <v/>
      </c>
      <c r="D148" s="49"/>
      <c r="E148" s="39" t="str">
        <f aca="false">IF(D148="","",D148/Setup!$B$3)</f>
        <v/>
      </c>
      <c r="F148" s="39" t="str">
        <f aca="false">IF(E148="","",MAX(Setup!$B$5,Setup!$B$6*E148))</f>
        <v/>
      </c>
      <c r="G148" s="62"/>
      <c r="H148" s="42" t="str">
        <f aca="false">IF(OR(G148="",E148=""),"",(E148-F148)/G148)</f>
        <v/>
      </c>
      <c r="I148" s="60"/>
    </row>
    <row r="149" customFormat="false" ht="15" hidden="false" customHeight="false" outlineLevel="0" collapsed="false">
      <c r="A149" s="59"/>
      <c r="B149" s="60"/>
      <c r="C149" s="41" t="str">
        <f aca="false">IF(B149="","",IFERROR(INDEX(Setup!$A$9:$A$12,MATCH(B149,Setup!$B$9:$B$12,0)),"Ticker not in Setup"))</f>
        <v/>
      </c>
      <c r="D149" s="49"/>
      <c r="E149" s="39" t="str">
        <f aca="false">IF(D149="","",D149/Setup!$B$3)</f>
        <v/>
      </c>
      <c r="F149" s="39" t="str">
        <f aca="false">IF(E149="","",MAX(Setup!$B$5,Setup!$B$6*E149))</f>
        <v/>
      </c>
      <c r="G149" s="62"/>
      <c r="H149" s="42" t="str">
        <f aca="false">IF(OR(G149="",E149=""),"",(E149-F149)/G149)</f>
        <v/>
      </c>
      <c r="I149" s="60"/>
    </row>
    <row r="150" customFormat="false" ht="15" hidden="false" customHeight="false" outlineLevel="0" collapsed="false">
      <c r="A150" s="59"/>
      <c r="B150" s="60"/>
      <c r="C150" s="41" t="str">
        <f aca="false">IF(B150="","",IFERROR(INDEX(Setup!$A$9:$A$12,MATCH(B150,Setup!$B$9:$B$12,0)),"Ticker not in Setup"))</f>
        <v/>
      </c>
      <c r="D150" s="49"/>
      <c r="E150" s="39" t="str">
        <f aca="false">IF(D150="","",D150/Setup!$B$3)</f>
        <v/>
      </c>
      <c r="F150" s="39" t="str">
        <f aca="false">IF(E150="","",MAX(Setup!$B$5,Setup!$B$6*E150))</f>
        <v/>
      </c>
      <c r="G150" s="62"/>
      <c r="H150" s="42" t="str">
        <f aca="false">IF(OR(G150="",E150=""),"",(E150-F150)/G150)</f>
        <v/>
      </c>
      <c r="I150" s="60"/>
    </row>
    <row r="151" customFormat="false" ht="15" hidden="false" customHeight="false" outlineLevel="0" collapsed="false">
      <c r="A151" s="59"/>
      <c r="B151" s="60"/>
      <c r="C151" s="41" t="str">
        <f aca="false">IF(B151="","",IFERROR(INDEX(Setup!$A$9:$A$12,MATCH(B151,Setup!$B$9:$B$12,0)),"Ticker not in Setup"))</f>
        <v/>
      </c>
      <c r="D151" s="49"/>
      <c r="E151" s="39" t="str">
        <f aca="false">IF(D151="","",D151/Setup!$B$3)</f>
        <v/>
      </c>
      <c r="F151" s="39" t="str">
        <f aca="false">IF(E151="","",MAX(Setup!$B$5,Setup!$B$6*E151))</f>
        <v/>
      </c>
      <c r="G151" s="62"/>
      <c r="H151" s="42" t="str">
        <f aca="false">IF(OR(G151="",E151=""),"",(E151-F151)/G151)</f>
        <v/>
      </c>
      <c r="I151" s="60"/>
    </row>
    <row r="152" customFormat="false" ht="15" hidden="false" customHeight="false" outlineLevel="0" collapsed="false">
      <c r="A152" s="59"/>
      <c r="B152" s="60"/>
      <c r="C152" s="41" t="str">
        <f aca="false">IF(B152="","",IFERROR(INDEX(Setup!$A$9:$A$12,MATCH(B152,Setup!$B$9:$B$12,0)),"Ticker not in Setup"))</f>
        <v/>
      </c>
      <c r="D152" s="49"/>
      <c r="E152" s="39" t="str">
        <f aca="false">IF(D152="","",D152/Setup!$B$3)</f>
        <v/>
      </c>
      <c r="F152" s="39" t="str">
        <f aca="false">IF(E152="","",MAX(Setup!$B$5,Setup!$B$6*E152))</f>
        <v/>
      </c>
      <c r="G152" s="62"/>
      <c r="H152" s="42" t="str">
        <f aca="false">IF(OR(G152="",E152=""),"",(E152-F152)/G152)</f>
        <v/>
      </c>
      <c r="I152" s="60"/>
    </row>
    <row r="153" customFormat="false" ht="15" hidden="false" customHeight="false" outlineLevel="0" collapsed="false">
      <c r="A153" s="59"/>
      <c r="B153" s="60"/>
      <c r="C153" s="41" t="str">
        <f aca="false">IF(B153="","",IFERROR(INDEX(Setup!$A$9:$A$12,MATCH(B153,Setup!$B$9:$B$12,0)),"Ticker not in Setup"))</f>
        <v/>
      </c>
      <c r="D153" s="49"/>
      <c r="E153" s="39" t="str">
        <f aca="false">IF(D153="","",D153/Setup!$B$3)</f>
        <v/>
      </c>
      <c r="F153" s="39" t="str">
        <f aca="false">IF(E153="","",MAX(Setup!$B$5,Setup!$B$6*E153))</f>
        <v/>
      </c>
      <c r="G153" s="62"/>
      <c r="H153" s="42" t="str">
        <f aca="false">IF(OR(G153="",E153=""),"",(E153-F153)/G153)</f>
        <v/>
      </c>
      <c r="I153" s="60"/>
    </row>
    <row r="154" customFormat="false" ht="15" hidden="false" customHeight="false" outlineLevel="0" collapsed="false">
      <c r="A154" s="59"/>
      <c r="B154" s="60"/>
      <c r="C154" s="41" t="str">
        <f aca="false">IF(B154="","",IFERROR(INDEX(Setup!$A$9:$A$12,MATCH(B154,Setup!$B$9:$B$12,0)),"Ticker not in Setup"))</f>
        <v/>
      </c>
      <c r="D154" s="49"/>
      <c r="E154" s="39" t="str">
        <f aca="false">IF(D154="","",D154/Setup!$B$3)</f>
        <v/>
      </c>
      <c r="F154" s="39" t="str">
        <f aca="false">IF(E154="","",MAX(Setup!$B$5,Setup!$B$6*E154))</f>
        <v/>
      </c>
      <c r="G154" s="62"/>
      <c r="H154" s="42" t="str">
        <f aca="false">IF(OR(G154="",E154=""),"",(E154-F154)/G154)</f>
        <v/>
      </c>
      <c r="I154" s="60"/>
    </row>
    <row r="155" customFormat="false" ht="15" hidden="false" customHeight="false" outlineLevel="0" collapsed="false">
      <c r="A155" s="59"/>
      <c r="B155" s="60"/>
      <c r="C155" s="41" t="str">
        <f aca="false">IF(B155="","",IFERROR(INDEX(Setup!$A$9:$A$12,MATCH(B155,Setup!$B$9:$B$12,0)),"Ticker not in Setup"))</f>
        <v/>
      </c>
      <c r="D155" s="49"/>
      <c r="E155" s="39" t="str">
        <f aca="false">IF(D155="","",D155/Setup!$B$3)</f>
        <v/>
      </c>
      <c r="F155" s="39" t="str">
        <f aca="false">IF(E155="","",MAX(Setup!$B$5,Setup!$B$6*E155))</f>
        <v/>
      </c>
      <c r="G155" s="62"/>
      <c r="H155" s="42" t="str">
        <f aca="false">IF(OR(G155="",E155=""),"",(E155-F155)/G155)</f>
        <v/>
      </c>
      <c r="I155" s="60"/>
    </row>
    <row r="156" customFormat="false" ht="15" hidden="false" customHeight="false" outlineLevel="0" collapsed="false">
      <c r="A156" s="59"/>
      <c r="B156" s="60"/>
      <c r="C156" s="41" t="str">
        <f aca="false">IF(B156="","",IFERROR(INDEX(Setup!$A$9:$A$12,MATCH(B156,Setup!$B$9:$B$12,0)),"Ticker not in Setup"))</f>
        <v/>
      </c>
      <c r="D156" s="49"/>
      <c r="E156" s="39" t="str">
        <f aca="false">IF(D156="","",D156/Setup!$B$3)</f>
        <v/>
      </c>
      <c r="F156" s="39" t="str">
        <f aca="false">IF(E156="","",MAX(Setup!$B$5,Setup!$B$6*E156))</f>
        <v/>
      </c>
      <c r="G156" s="62"/>
      <c r="H156" s="42" t="str">
        <f aca="false">IF(OR(G156="",E156=""),"",(E156-F156)/G156)</f>
        <v/>
      </c>
      <c r="I156" s="60"/>
    </row>
    <row r="157" customFormat="false" ht="15" hidden="false" customHeight="false" outlineLevel="0" collapsed="false">
      <c r="A157" s="59"/>
      <c r="B157" s="60"/>
      <c r="C157" s="41" t="str">
        <f aca="false">IF(B157="","",IFERROR(INDEX(Setup!$A$9:$A$12,MATCH(B157,Setup!$B$9:$B$12,0)),"Ticker not in Setup"))</f>
        <v/>
      </c>
      <c r="D157" s="49"/>
      <c r="E157" s="39" t="str">
        <f aca="false">IF(D157="","",D157/Setup!$B$3)</f>
        <v/>
      </c>
      <c r="F157" s="39" t="str">
        <f aca="false">IF(E157="","",MAX(Setup!$B$5,Setup!$B$6*E157))</f>
        <v/>
      </c>
      <c r="G157" s="62"/>
      <c r="H157" s="42" t="str">
        <f aca="false">IF(OR(G157="",E157=""),"",(E157-F157)/G157)</f>
        <v/>
      </c>
      <c r="I157" s="60"/>
    </row>
    <row r="158" customFormat="false" ht="15" hidden="false" customHeight="false" outlineLevel="0" collapsed="false">
      <c r="A158" s="59"/>
      <c r="B158" s="60"/>
      <c r="C158" s="41" t="str">
        <f aca="false">IF(B158="","",IFERROR(INDEX(Setup!$A$9:$A$12,MATCH(B158,Setup!$B$9:$B$12,0)),"Ticker not in Setup"))</f>
        <v/>
      </c>
      <c r="D158" s="49"/>
      <c r="E158" s="39" t="str">
        <f aca="false">IF(D158="","",D158/Setup!$B$3)</f>
        <v/>
      </c>
      <c r="F158" s="39" t="str">
        <f aca="false">IF(E158="","",MAX(Setup!$B$5,Setup!$B$6*E158))</f>
        <v/>
      </c>
      <c r="G158" s="62"/>
      <c r="H158" s="42" t="str">
        <f aca="false">IF(OR(G158="",E158=""),"",(E158-F158)/G158)</f>
        <v/>
      </c>
      <c r="I158" s="60"/>
    </row>
    <row r="159" customFormat="false" ht="15" hidden="false" customHeight="false" outlineLevel="0" collapsed="false">
      <c r="A159" s="59"/>
      <c r="B159" s="60"/>
      <c r="C159" s="41" t="str">
        <f aca="false">IF(B159="","",IFERROR(INDEX(Setup!$A$9:$A$12,MATCH(B159,Setup!$B$9:$B$12,0)),"Ticker not in Setup"))</f>
        <v/>
      </c>
      <c r="D159" s="49"/>
      <c r="E159" s="39" t="str">
        <f aca="false">IF(D159="","",D159/Setup!$B$3)</f>
        <v/>
      </c>
      <c r="F159" s="39" t="str">
        <f aca="false">IF(E159="","",MAX(Setup!$B$5,Setup!$B$6*E159))</f>
        <v/>
      </c>
      <c r="G159" s="62"/>
      <c r="H159" s="42" t="str">
        <f aca="false">IF(OR(G159="",E159=""),"",(E159-F159)/G159)</f>
        <v/>
      </c>
      <c r="I159" s="60"/>
    </row>
    <row r="160" customFormat="false" ht="15" hidden="false" customHeight="false" outlineLevel="0" collapsed="false">
      <c r="A160" s="59"/>
      <c r="B160" s="60"/>
      <c r="C160" s="41" t="str">
        <f aca="false">IF(B160="","",IFERROR(INDEX(Setup!$A$9:$A$12,MATCH(B160,Setup!$B$9:$B$12,0)),"Ticker not in Setup"))</f>
        <v/>
      </c>
      <c r="D160" s="49"/>
      <c r="E160" s="39" t="str">
        <f aca="false">IF(D160="","",D160/Setup!$B$3)</f>
        <v/>
      </c>
      <c r="F160" s="39" t="str">
        <f aca="false">IF(E160="","",MAX(Setup!$B$5,Setup!$B$6*E160))</f>
        <v/>
      </c>
      <c r="G160" s="62"/>
      <c r="H160" s="42" t="str">
        <f aca="false">IF(OR(G160="",E160=""),"",(E160-F160)/G160)</f>
        <v/>
      </c>
      <c r="I160" s="60"/>
    </row>
    <row r="161" customFormat="false" ht="15" hidden="false" customHeight="false" outlineLevel="0" collapsed="false">
      <c r="A161" s="59"/>
      <c r="B161" s="60"/>
      <c r="C161" s="41" t="str">
        <f aca="false">IF(B161="","",IFERROR(INDEX(Setup!$A$9:$A$12,MATCH(B161,Setup!$B$9:$B$12,0)),"Ticker not in Setup"))</f>
        <v/>
      </c>
      <c r="D161" s="49"/>
      <c r="E161" s="39" t="str">
        <f aca="false">IF(D161="","",D161/Setup!$B$3)</f>
        <v/>
      </c>
      <c r="F161" s="39" t="str">
        <f aca="false">IF(E161="","",MAX(Setup!$B$5,Setup!$B$6*E161))</f>
        <v/>
      </c>
      <c r="G161" s="62"/>
      <c r="H161" s="42" t="str">
        <f aca="false">IF(OR(G161="",E161=""),"",(E161-F161)/G161)</f>
        <v/>
      </c>
      <c r="I161" s="60"/>
    </row>
    <row r="162" customFormat="false" ht="15" hidden="false" customHeight="false" outlineLevel="0" collapsed="false">
      <c r="A162" s="59"/>
      <c r="B162" s="60"/>
      <c r="C162" s="41" t="str">
        <f aca="false">IF(B162="","",IFERROR(INDEX(Setup!$A$9:$A$12,MATCH(B162,Setup!$B$9:$B$12,0)),"Ticker not in Setup"))</f>
        <v/>
      </c>
      <c r="D162" s="49"/>
      <c r="E162" s="39" t="str">
        <f aca="false">IF(D162="","",D162/Setup!$B$3)</f>
        <v/>
      </c>
      <c r="F162" s="39" t="str">
        <f aca="false">IF(E162="","",MAX(Setup!$B$5,Setup!$B$6*E162))</f>
        <v/>
      </c>
      <c r="G162" s="62"/>
      <c r="H162" s="42" t="str">
        <f aca="false">IF(OR(G162="",E162=""),"",(E162-F162)/G162)</f>
        <v/>
      </c>
      <c r="I162" s="60"/>
    </row>
    <row r="163" customFormat="false" ht="15" hidden="false" customHeight="false" outlineLevel="0" collapsed="false">
      <c r="A163" s="59"/>
      <c r="B163" s="60"/>
      <c r="C163" s="41" t="str">
        <f aca="false">IF(B163="","",IFERROR(INDEX(Setup!$A$9:$A$12,MATCH(B163,Setup!$B$9:$B$12,0)),"Ticker not in Setup"))</f>
        <v/>
      </c>
      <c r="D163" s="49"/>
      <c r="E163" s="39" t="str">
        <f aca="false">IF(D163="","",D163/Setup!$B$3)</f>
        <v/>
      </c>
      <c r="F163" s="39" t="str">
        <f aca="false">IF(E163="","",MAX(Setup!$B$5,Setup!$B$6*E163))</f>
        <v/>
      </c>
      <c r="G163" s="62"/>
      <c r="H163" s="42" t="str">
        <f aca="false">IF(OR(G163="",E163=""),"",(E163-F163)/G163)</f>
        <v/>
      </c>
      <c r="I163" s="60"/>
    </row>
    <row r="164" customFormat="false" ht="15" hidden="false" customHeight="false" outlineLevel="0" collapsed="false">
      <c r="A164" s="59"/>
      <c r="B164" s="60"/>
      <c r="C164" s="41" t="str">
        <f aca="false">IF(B164="","",IFERROR(INDEX(Setup!$A$9:$A$12,MATCH(B164,Setup!$B$9:$B$12,0)),"Ticker not in Setup"))</f>
        <v/>
      </c>
      <c r="D164" s="49"/>
      <c r="E164" s="39" t="str">
        <f aca="false">IF(D164="","",D164/Setup!$B$3)</f>
        <v/>
      </c>
      <c r="F164" s="39" t="str">
        <f aca="false">IF(E164="","",MAX(Setup!$B$5,Setup!$B$6*E164))</f>
        <v/>
      </c>
      <c r="G164" s="62"/>
      <c r="H164" s="42" t="str">
        <f aca="false">IF(OR(G164="",E164=""),"",(E164-F164)/G164)</f>
        <v/>
      </c>
      <c r="I164" s="60"/>
    </row>
    <row r="165" customFormat="false" ht="15" hidden="false" customHeight="false" outlineLevel="0" collapsed="false">
      <c r="A165" s="59"/>
      <c r="B165" s="60"/>
      <c r="C165" s="41" t="str">
        <f aca="false">IF(B165="","",IFERROR(INDEX(Setup!$A$9:$A$12,MATCH(B165,Setup!$B$9:$B$12,0)),"Ticker not in Setup"))</f>
        <v/>
      </c>
      <c r="D165" s="49"/>
      <c r="E165" s="39" t="str">
        <f aca="false">IF(D165="","",D165/Setup!$B$3)</f>
        <v/>
      </c>
      <c r="F165" s="39" t="str">
        <f aca="false">IF(E165="","",MAX(Setup!$B$5,Setup!$B$6*E165))</f>
        <v/>
      </c>
      <c r="G165" s="62"/>
      <c r="H165" s="42" t="str">
        <f aca="false">IF(OR(G165="",E165=""),"",(E165-F165)/G165)</f>
        <v/>
      </c>
      <c r="I165" s="60"/>
    </row>
    <row r="166" customFormat="false" ht="15" hidden="false" customHeight="false" outlineLevel="0" collapsed="false">
      <c r="A166" s="59"/>
      <c r="B166" s="60"/>
      <c r="C166" s="41" t="str">
        <f aca="false">IF(B166="","",IFERROR(INDEX(Setup!$A$9:$A$12,MATCH(B166,Setup!$B$9:$B$12,0)),"Ticker not in Setup"))</f>
        <v/>
      </c>
      <c r="D166" s="49"/>
      <c r="E166" s="39" t="str">
        <f aca="false">IF(D166="","",D166/Setup!$B$3)</f>
        <v/>
      </c>
      <c r="F166" s="39" t="str">
        <f aca="false">IF(E166="","",MAX(Setup!$B$5,Setup!$B$6*E166))</f>
        <v/>
      </c>
      <c r="G166" s="62"/>
      <c r="H166" s="42" t="str">
        <f aca="false">IF(OR(G166="",E166=""),"",(E166-F166)/G166)</f>
        <v/>
      </c>
      <c r="I166" s="60"/>
    </row>
    <row r="167" customFormat="false" ht="15" hidden="false" customHeight="false" outlineLevel="0" collapsed="false">
      <c r="A167" s="59"/>
      <c r="B167" s="60"/>
      <c r="C167" s="41" t="str">
        <f aca="false">IF(B167="","",IFERROR(INDEX(Setup!$A$9:$A$12,MATCH(B167,Setup!$B$9:$B$12,0)),"Ticker not in Setup"))</f>
        <v/>
      </c>
      <c r="D167" s="49"/>
      <c r="E167" s="39" t="str">
        <f aca="false">IF(D167="","",D167/Setup!$B$3)</f>
        <v/>
      </c>
      <c r="F167" s="39" t="str">
        <f aca="false">IF(E167="","",MAX(Setup!$B$5,Setup!$B$6*E167))</f>
        <v/>
      </c>
      <c r="G167" s="62"/>
      <c r="H167" s="42" t="str">
        <f aca="false">IF(OR(G167="",E167=""),"",(E167-F167)/G167)</f>
        <v/>
      </c>
      <c r="I167" s="60"/>
    </row>
    <row r="168" customFormat="false" ht="15" hidden="false" customHeight="false" outlineLevel="0" collapsed="false">
      <c r="A168" s="59"/>
      <c r="B168" s="60"/>
      <c r="C168" s="41" t="str">
        <f aca="false">IF(B168="","",IFERROR(INDEX(Setup!$A$9:$A$12,MATCH(B168,Setup!$B$9:$B$12,0)),"Ticker not in Setup"))</f>
        <v/>
      </c>
      <c r="D168" s="49"/>
      <c r="E168" s="39" t="str">
        <f aca="false">IF(D168="","",D168/Setup!$B$3)</f>
        <v/>
      </c>
      <c r="F168" s="39" t="str">
        <f aca="false">IF(E168="","",MAX(Setup!$B$5,Setup!$B$6*E168))</f>
        <v/>
      </c>
      <c r="G168" s="62"/>
      <c r="H168" s="42" t="str">
        <f aca="false">IF(OR(G168="",E168=""),"",(E168-F168)/G168)</f>
        <v/>
      </c>
      <c r="I168" s="60"/>
    </row>
    <row r="169" customFormat="false" ht="15" hidden="false" customHeight="false" outlineLevel="0" collapsed="false">
      <c r="A169" s="59"/>
      <c r="B169" s="60"/>
      <c r="C169" s="41" t="str">
        <f aca="false">IF(B169="","",IFERROR(INDEX(Setup!$A$9:$A$12,MATCH(B169,Setup!$B$9:$B$12,0)),"Ticker not in Setup"))</f>
        <v/>
      </c>
      <c r="D169" s="49"/>
      <c r="E169" s="39" t="str">
        <f aca="false">IF(D169="","",D169/Setup!$B$3)</f>
        <v/>
      </c>
      <c r="F169" s="39" t="str">
        <f aca="false">IF(E169="","",MAX(Setup!$B$5,Setup!$B$6*E169))</f>
        <v/>
      </c>
      <c r="G169" s="62"/>
      <c r="H169" s="42" t="str">
        <f aca="false">IF(OR(G169="",E169=""),"",(E169-F169)/G169)</f>
        <v/>
      </c>
      <c r="I169" s="60"/>
    </row>
    <row r="170" customFormat="false" ht="15" hidden="false" customHeight="false" outlineLevel="0" collapsed="false">
      <c r="A170" s="59"/>
      <c r="B170" s="60"/>
      <c r="C170" s="41" t="str">
        <f aca="false">IF(B170="","",IFERROR(INDEX(Setup!$A$9:$A$12,MATCH(B170,Setup!$B$9:$B$12,0)),"Ticker not in Setup"))</f>
        <v/>
      </c>
      <c r="D170" s="49"/>
      <c r="E170" s="39" t="str">
        <f aca="false">IF(D170="","",D170/Setup!$B$3)</f>
        <v/>
      </c>
      <c r="F170" s="39" t="str">
        <f aca="false">IF(E170="","",MAX(Setup!$B$5,Setup!$B$6*E170))</f>
        <v/>
      </c>
      <c r="G170" s="62"/>
      <c r="H170" s="42" t="str">
        <f aca="false">IF(OR(G170="",E170=""),"",(E170-F170)/G170)</f>
        <v/>
      </c>
      <c r="I170" s="60"/>
    </row>
    <row r="171" customFormat="false" ht="15" hidden="false" customHeight="false" outlineLevel="0" collapsed="false">
      <c r="A171" s="59"/>
      <c r="B171" s="60"/>
      <c r="C171" s="41" t="str">
        <f aca="false">IF(B171="","",IFERROR(INDEX(Setup!$A$9:$A$12,MATCH(B171,Setup!$B$9:$B$12,0)),"Ticker not in Setup"))</f>
        <v/>
      </c>
      <c r="D171" s="49"/>
      <c r="E171" s="39" t="str">
        <f aca="false">IF(D171="","",D171/Setup!$B$3)</f>
        <v/>
      </c>
      <c r="F171" s="39" t="str">
        <f aca="false">IF(E171="","",MAX(Setup!$B$5,Setup!$B$6*E171))</f>
        <v/>
      </c>
      <c r="G171" s="62"/>
      <c r="H171" s="42" t="str">
        <f aca="false">IF(OR(G171="",E171=""),"",(E171-F171)/G171)</f>
        <v/>
      </c>
      <c r="I171" s="60"/>
    </row>
    <row r="172" customFormat="false" ht="15" hidden="false" customHeight="false" outlineLevel="0" collapsed="false">
      <c r="A172" s="59"/>
      <c r="B172" s="60"/>
      <c r="C172" s="41" t="str">
        <f aca="false">IF(B172="","",IFERROR(INDEX(Setup!$A$9:$A$12,MATCH(B172,Setup!$B$9:$B$12,0)),"Ticker not in Setup"))</f>
        <v/>
      </c>
      <c r="D172" s="49"/>
      <c r="E172" s="39" t="str">
        <f aca="false">IF(D172="","",D172/Setup!$B$3)</f>
        <v/>
      </c>
      <c r="F172" s="39" t="str">
        <f aca="false">IF(E172="","",MAX(Setup!$B$5,Setup!$B$6*E172))</f>
        <v/>
      </c>
      <c r="G172" s="62"/>
      <c r="H172" s="42" t="str">
        <f aca="false">IF(OR(G172="",E172=""),"",(E172-F172)/G172)</f>
        <v/>
      </c>
      <c r="I172" s="60"/>
    </row>
    <row r="173" customFormat="false" ht="15" hidden="false" customHeight="false" outlineLevel="0" collapsed="false">
      <c r="A173" s="59"/>
      <c r="B173" s="60"/>
      <c r="C173" s="41" t="str">
        <f aca="false">IF(B173="","",IFERROR(INDEX(Setup!$A$9:$A$12,MATCH(B173,Setup!$B$9:$B$12,0)),"Ticker not in Setup"))</f>
        <v/>
      </c>
      <c r="D173" s="49"/>
      <c r="E173" s="39" t="str">
        <f aca="false">IF(D173="","",D173/Setup!$B$3)</f>
        <v/>
      </c>
      <c r="F173" s="39" t="str">
        <f aca="false">IF(E173="","",MAX(Setup!$B$5,Setup!$B$6*E173))</f>
        <v/>
      </c>
      <c r="G173" s="62"/>
      <c r="H173" s="42" t="str">
        <f aca="false">IF(OR(G173="",E173=""),"",(E173-F173)/G173)</f>
        <v/>
      </c>
      <c r="I173" s="60"/>
    </row>
    <row r="174" customFormat="false" ht="15" hidden="false" customHeight="false" outlineLevel="0" collapsed="false">
      <c r="A174" s="59"/>
      <c r="B174" s="60"/>
      <c r="C174" s="41" t="str">
        <f aca="false">IF(B174="","",IFERROR(INDEX(Setup!$A$9:$A$12,MATCH(B174,Setup!$B$9:$B$12,0)),"Ticker not in Setup"))</f>
        <v/>
      </c>
      <c r="D174" s="49"/>
      <c r="E174" s="39" t="str">
        <f aca="false">IF(D174="","",D174/Setup!$B$3)</f>
        <v/>
      </c>
      <c r="F174" s="39" t="str">
        <f aca="false">IF(E174="","",MAX(Setup!$B$5,Setup!$B$6*E174))</f>
        <v/>
      </c>
      <c r="G174" s="62"/>
      <c r="H174" s="42" t="str">
        <f aca="false">IF(OR(G174="",E174=""),"",(E174-F174)/G174)</f>
        <v/>
      </c>
      <c r="I174" s="60"/>
    </row>
    <row r="175" customFormat="false" ht="15" hidden="false" customHeight="false" outlineLevel="0" collapsed="false">
      <c r="A175" s="59"/>
      <c r="B175" s="60"/>
      <c r="C175" s="41" t="str">
        <f aca="false">IF(B175="","",IFERROR(INDEX(Setup!$A$9:$A$12,MATCH(B175,Setup!$B$9:$B$12,0)),"Ticker not in Setup"))</f>
        <v/>
      </c>
      <c r="D175" s="49"/>
      <c r="E175" s="39" t="str">
        <f aca="false">IF(D175="","",D175/Setup!$B$3)</f>
        <v/>
      </c>
      <c r="F175" s="39" t="str">
        <f aca="false">IF(E175="","",MAX(Setup!$B$5,Setup!$B$6*E175))</f>
        <v/>
      </c>
      <c r="G175" s="62"/>
      <c r="H175" s="42" t="str">
        <f aca="false">IF(OR(G175="",E175=""),"",(E175-F175)/G175)</f>
        <v/>
      </c>
      <c r="I175" s="60"/>
    </row>
    <row r="176" customFormat="false" ht="15" hidden="false" customHeight="false" outlineLevel="0" collapsed="false">
      <c r="A176" s="59"/>
      <c r="B176" s="60"/>
      <c r="C176" s="41" t="str">
        <f aca="false">IF(B176="","",IFERROR(INDEX(Setup!$A$9:$A$12,MATCH(B176,Setup!$B$9:$B$12,0)),"Ticker not in Setup"))</f>
        <v/>
      </c>
      <c r="D176" s="49"/>
      <c r="E176" s="39" t="str">
        <f aca="false">IF(D176="","",D176/Setup!$B$3)</f>
        <v/>
      </c>
      <c r="F176" s="39" t="str">
        <f aca="false">IF(E176="","",MAX(Setup!$B$5,Setup!$B$6*E176))</f>
        <v/>
      </c>
      <c r="G176" s="62"/>
      <c r="H176" s="42" t="str">
        <f aca="false">IF(OR(G176="",E176=""),"",(E176-F176)/G176)</f>
        <v/>
      </c>
      <c r="I176" s="60"/>
    </row>
    <row r="177" customFormat="false" ht="15" hidden="false" customHeight="false" outlineLevel="0" collapsed="false">
      <c r="A177" s="59"/>
      <c r="B177" s="60"/>
      <c r="C177" s="41" t="str">
        <f aca="false">IF(B177="","",IFERROR(INDEX(Setup!$A$9:$A$12,MATCH(B177,Setup!$B$9:$B$12,0)),"Ticker not in Setup"))</f>
        <v/>
      </c>
      <c r="D177" s="49"/>
      <c r="E177" s="39" t="str">
        <f aca="false">IF(D177="","",D177/Setup!$B$3)</f>
        <v/>
      </c>
      <c r="F177" s="39" t="str">
        <f aca="false">IF(E177="","",MAX(Setup!$B$5,Setup!$B$6*E177))</f>
        <v/>
      </c>
      <c r="G177" s="62"/>
      <c r="H177" s="42" t="str">
        <f aca="false">IF(OR(G177="",E177=""),"",(E177-F177)/G177)</f>
        <v/>
      </c>
      <c r="I177" s="60"/>
    </row>
    <row r="178" customFormat="false" ht="15" hidden="false" customHeight="false" outlineLevel="0" collapsed="false">
      <c r="A178" s="59"/>
      <c r="B178" s="60"/>
      <c r="C178" s="41" t="str">
        <f aca="false">IF(B178="","",IFERROR(INDEX(Setup!$A$9:$A$12,MATCH(B178,Setup!$B$9:$B$12,0)),"Ticker not in Setup"))</f>
        <v/>
      </c>
      <c r="D178" s="49"/>
      <c r="E178" s="39" t="str">
        <f aca="false">IF(D178="","",D178/Setup!$B$3)</f>
        <v/>
      </c>
      <c r="F178" s="39" t="str">
        <f aca="false">IF(E178="","",MAX(Setup!$B$5,Setup!$B$6*E178))</f>
        <v/>
      </c>
      <c r="G178" s="62"/>
      <c r="H178" s="42" t="str">
        <f aca="false">IF(OR(G178="",E178=""),"",(E178-F178)/G178)</f>
        <v/>
      </c>
      <c r="I178" s="60"/>
    </row>
    <row r="179" customFormat="false" ht="15" hidden="false" customHeight="false" outlineLevel="0" collapsed="false">
      <c r="A179" s="59"/>
      <c r="B179" s="60"/>
      <c r="C179" s="41" t="str">
        <f aca="false">IF(B179="","",IFERROR(INDEX(Setup!$A$9:$A$12,MATCH(B179,Setup!$B$9:$B$12,0)),"Ticker not in Setup"))</f>
        <v/>
      </c>
      <c r="D179" s="49"/>
      <c r="E179" s="39" t="str">
        <f aca="false">IF(D179="","",D179/Setup!$B$3)</f>
        <v/>
      </c>
      <c r="F179" s="39" t="str">
        <f aca="false">IF(E179="","",MAX(Setup!$B$5,Setup!$B$6*E179))</f>
        <v/>
      </c>
      <c r="G179" s="62"/>
      <c r="H179" s="42" t="str">
        <f aca="false">IF(OR(G179="",E179=""),"",(E179-F179)/G179)</f>
        <v/>
      </c>
      <c r="I179" s="60"/>
    </row>
    <row r="180" customFormat="false" ht="15" hidden="false" customHeight="false" outlineLevel="0" collapsed="false">
      <c r="A180" s="59"/>
      <c r="B180" s="60"/>
      <c r="C180" s="41" t="str">
        <f aca="false">IF(B180="","",IFERROR(INDEX(Setup!$A$9:$A$12,MATCH(B180,Setup!$B$9:$B$12,0)),"Ticker not in Setup"))</f>
        <v/>
      </c>
      <c r="D180" s="49"/>
      <c r="E180" s="39" t="str">
        <f aca="false">IF(D180="","",D180/Setup!$B$3)</f>
        <v/>
      </c>
      <c r="F180" s="39" t="str">
        <f aca="false">IF(E180="","",MAX(Setup!$B$5,Setup!$B$6*E180))</f>
        <v/>
      </c>
      <c r="G180" s="62"/>
      <c r="H180" s="42" t="str">
        <f aca="false">IF(OR(G180="",E180=""),"",(E180-F180)/G180)</f>
        <v/>
      </c>
      <c r="I180" s="60"/>
    </row>
    <row r="181" customFormat="false" ht="15" hidden="false" customHeight="false" outlineLevel="0" collapsed="false">
      <c r="A181" s="59"/>
      <c r="B181" s="60"/>
      <c r="C181" s="41" t="str">
        <f aca="false">IF(B181="","",IFERROR(INDEX(Setup!$A$9:$A$12,MATCH(B181,Setup!$B$9:$B$12,0)),"Ticker not in Setup"))</f>
        <v/>
      </c>
      <c r="D181" s="49"/>
      <c r="E181" s="39" t="str">
        <f aca="false">IF(D181="","",D181/Setup!$B$3)</f>
        <v/>
      </c>
      <c r="F181" s="39" t="str">
        <f aca="false">IF(E181="","",MAX(Setup!$B$5,Setup!$B$6*E181))</f>
        <v/>
      </c>
      <c r="G181" s="62"/>
      <c r="H181" s="42" t="str">
        <f aca="false">IF(OR(G181="",E181=""),"",(E181-F181)/G181)</f>
        <v/>
      </c>
      <c r="I181" s="60"/>
    </row>
    <row r="182" customFormat="false" ht="15" hidden="false" customHeight="false" outlineLevel="0" collapsed="false">
      <c r="A182" s="59"/>
      <c r="B182" s="60"/>
      <c r="C182" s="41" t="str">
        <f aca="false">IF(B182="","",IFERROR(INDEX(Setup!$A$9:$A$12,MATCH(B182,Setup!$B$9:$B$12,0)),"Ticker not in Setup"))</f>
        <v/>
      </c>
      <c r="D182" s="49"/>
      <c r="E182" s="39" t="str">
        <f aca="false">IF(D182="","",D182/Setup!$B$3)</f>
        <v/>
      </c>
      <c r="F182" s="39" t="str">
        <f aca="false">IF(E182="","",MAX(Setup!$B$5,Setup!$B$6*E182))</f>
        <v/>
      </c>
      <c r="G182" s="62"/>
      <c r="H182" s="42" t="str">
        <f aca="false">IF(OR(G182="",E182=""),"",(E182-F182)/G182)</f>
        <v/>
      </c>
      <c r="I182" s="60"/>
    </row>
    <row r="183" customFormat="false" ht="15" hidden="false" customHeight="false" outlineLevel="0" collapsed="false">
      <c r="A183" s="59"/>
      <c r="B183" s="60"/>
      <c r="C183" s="41" t="str">
        <f aca="false">IF(B183="","",IFERROR(INDEX(Setup!$A$9:$A$12,MATCH(B183,Setup!$B$9:$B$12,0)),"Ticker not in Setup"))</f>
        <v/>
      </c>
      <c r="D183" s="49"/>
      <c r="E183" s="39" t="str">
        <f aca="false">IF(D183="","",D183/Setup!$B$3)</f>
        <v/>
      </c>
      <c r="F183" s="39" t="str">
        <f aca="false">IF(E183="","",MAX(Setup!$B$5,Setup!$B$6*E183))</f>
        <v/>
      </c>
      <c r="G183" s="62"/>
      <c r="H183" s="42" t="str">
        <f aca="false">IF(OR(G183="",E183=""),"",(E183-F183)/G183)</f>
        <v/>
      </c>
      <c r="I183" s="60"/>
    </row>
    <row r="184" customFormat="false" ht="15" hidden="false" customHeight="false" outlineLevel="0" collapsed="false">
      <c r="A184" s="59"/>
      <c r="B184" s="60"/>
      <c r="C184" s="41" t="str">
        <f aca="false">IF(B184="","",IFERROR(INDEX(Setup!$A$9:$A$12,MATCH(B184,Setup!$B$9:$B$12,0)),"Ticker not in Setup"))</f>
        <v/>
      </c>
      <c r="D184" s="49"/>
      <c r="E184" s="39" t="str">
        <f aca="false">IF(D184="","",D184/Setup!$B$3)</f>
        <v/>
      </c>
      <c r="F184" s="39" t="str">
        <f aca="false">IF(E184="","",MAX(Setup!$B$5,Setup!$B$6*E184))</f>
        <v/>
      </c>
      <c r="G184" s="62"/>
      <c r="H184" s="42" t="str">
        <f aca="false">IF(OR(G184="",E184=""),"",(E184-F184)/G184)</f>
        <v/>
      </c>
      <c r="I184" s="60"/>
    </row>
    <row r="185" customFormat="false" ht="15" hidden="false" customHeight="false" outlineLevel="0" collapsed="false">
      <c r="A185" s="59"/>
      <c r="B185" s="60"/>
      <c r="C185" s="41" t="str">
        <f aca="false">IF(B185="","",IFERROR(INDEX(Setup!$A$9:$A$12,MATCH(B185,Setup!$B$9:$B$12,0)),"Ticker not in Setup"))</f>
        <v/>
      </c>
      <c r="D185" s="49"/>
      <c r="E185" s="39" t="str">
        <f aca="false">IF(D185="","",D185/Setup!$B$3)</f>
        <v/>
      </c>
      <c r="F185" s="39" t="str">
        <f aca="false">IF(E185="","",MAX(Setup!$B$5,Setup!$B$6*E185))</f>
        <v/>
      </c>
      <c r="G185" s="62"/>
      <c r="H185" s="42" t="str">
        <f aca="false">IF(OR(G185="",E185=""),"",(E185-F185)/G185)</f>
        <v/>
      </c>
      <c r="I185" s="60"/>
    </row>
    <row r="186" customFormat="false" ht="15" hidden="false" customHeight="false" outlineLevel="0" collapsed="false">
      <c r="A186" s="59"/>
      <c r="B186" s="60"/>
      <c r="C186" s="41" t="str">
        <f aca="false">IF(B186="","",IFERROR(INDEX(Setup!$A$9:$A$12,MATCH(B186,Setup!$B$9:$B$12,0)),"Ticker not in Setup"))</f>
        <v/>
      </c>
      <c r="D186" s="49"/>
      <c r="E186" s="39" t="str">
        <f aca="false">IF(D186="","",D186/Setup!$B$3)</f>
        <v/>
      </c>
      <c r="F186" s="39" t="str">
        <f aca="false">IF(E186="","",MAX(Setup!$B$5,Setup!$B$6*E186))</f>
        <v/>
      </c>
      <c r="G186" s="62"/>
      <c r="H186" s="42" t="str">
        <f aca="false">IF(OR(G186="",E186=""),"",(E186-F186)/G186)</f>
        <v/>
      </c>
      <c r="I186" s="60"/>
    </row>
    <row r="187" customFormat="false" ht="15" hidden="false" customHeight="false" outlineLevel="0" collapsed="false">
      <c r="A187" s="59"/>
      <c r="B187" s="60"/>
      <c r="C187" s="41" t="str">
        <f aca="false">IF(B187="","",IFERROR(INDEX(Setup!$A$9:$A$12,MATCH(B187,Setup!$B$9:$B$12,0)),"Ticker not in Setup"))</f>
        <v/>
      </c>
      <c r="D187" s="49"/>
      <c r="E187" s="39" t="str">
        <f aca="false">IF(D187="","",D187/Setup!$B$3)</f>
        <v/>
      </c>
      <c r="F187" s="39" t="str">
        <f aca="false">IF(E187="","",MAX(Setup!$B$5,Setup!$B$6*E187))</f>
        <v/>
      </c>
      <c r="G187" s="62"/>
      <c r="H187" s="42" t="str">
        <f aca="false">IF(OR(G187="",E187=""),"",(E187-F187)/G187)</f>
        <v/>
      </c>
      <c r="I187" s="60"/>
    </row>
    <row r="188" customFormat="false" ht="15" hidden="false" customHeight="false" outlineLevel="0" collapsed="false">
      <c r="A188" s="59"/>
      <c r="B188" s="60"/>
      <c r="C188" s="41" t="str">
        <f aca="false">IF(B188="","",IFERROR(INDEX(Setup!$A$9:$A$12,MATCH(B188,Setup!$B$9:$B$12,0)),"Ticker not in Setup"))</f>
        <v/>
      </c>
      <c r="D188" s="49"/>
      <c r="E188" s="39" t="str">
        <f aca="false">IF(D188="","",D188/Setup!$B$3)</f>
        <v/>
      </c>
      <c r="F188" s="39" t="str">
        <f aca="false">IF(E188="","",MAX(Setup!$B$5,Setup!$B$6*E188))</f>
        <v/>
      </c>
      <c r="G188" s="62"/>
      <c r="H188" s="42" t="str">
        <f aca="false">IF(OR(G188="",E188=""),"",(E188-F188)/G188)</f>
        <v/>
      </c>
      <c r="I188" s="60"/>
    </row>
    <row r="189" customFormat="false" ht="15" hidden="false" customHeight="false" outlineLevel="0" collapsed="false">
      <c r="A189" s="59"/>
      <c r="B189" s="60"/>
      <c r="C189" s="41" t="str">
        <f aca="false">IF(B189="","",IFERROR(INDEX(Setup!$A$9:$A$12,MATCH(B189,Setup!$B$9:$B$12,0)),"Ticker not in Setup"))</f>
        <v/>
      </c>
      <c r="D189" s="49"/>
      <c r="E189" s="39" t="str">
        <f aca="false">IF(D189="","",D189/Setup!$B$3)</f>
        <v/>
      </c>
      <c r="F189" s="39" t="str">
        <f aca="false">IF(E189="","",MAX(Setup!$B$5,Setup!$B$6*E189))</f>
        <v/>
      </c>
      <c r="G189" s="62"/>
      <c r="H189" s="42" t="str">
        <f aca="false">IF(OR(G189="",E189=""),"",(E189-F189)/G189)</f>
        <v/>
      </c>
      <c r="I189" s="60"/>
    </row>
    <row r="190" customFormat="false" ht="15" hidden="false" customHeight="false" outlineLevel="0" collapsed="false">
      <c r="A190" s="59"/>
      <c r="B190" s="60"/>
      <c r="C190" s="41" t="str">
        <f aca="false">IF(B190="","",IFERROR(INDEX(Setup!$A$9:$A$12,MATCH(B190,Setup!$B$9:$B$12,0)),"Ticker not in Setup"))</f>
        <v/>
      </c>
      <c r="D190" s="49"/>
      <c r="E190" s="39" t="str">
        <f aca="false">IF(D190="","",D190/Setup!$B$3)</f>
        <v/>
      </c>
      <c r="F190" s="39" t="str">
        <f aca="false">IF(E190="","",MAX(Setup!$B$5,Setup!$B$6*E190))</f>
        <v/>
      </c>
      <c r="G190" s="62"/>
      <c r="H190" s="42" t="str">
        <f aca="false">IF(OR(G190="",E190=""),"",(E190-F190)/G190)</f>
        <v/>
      </c>
      <c r="I190" s="60"/>
    </row>
    <row r="191" customFormat="false" ht="15" hidden="false" customHeight="false" outlineLevel="0" collapsed="false">
      <c r="A191" s="59"/>
      <c r="B191" s="60"/>
      <c r="C191" s="41" t="str">
        <f aca="false">IF(B191="","",IFERROR(INDEX(Setup!$A$9:$A$12,MATCH(B191,Setup!$B$9:$B$12,0)),"Ticker not in Setup"))</f>
        <v/>
      </c>
      <c r="D191" s="49"/>
      <c r="E191" s="39" t="str">
        <f aca="false">IF(D191="","",D191/Setup!$B$3)</f>
        <v/>
      </c>
      <c r="F191" s="39" t="str">
        <f aca="false">IF(E191="","",MAX(Setup!$B$5,Setup!$B$6*E191))</f>
        <v/>
      </c>
      <c r="G191" s="62"/>
      <c r="H191" s="42" t="str">
        <f aca="false">IF(OR(G191="",E191=""),"",(E191-F191)/G191)</f>
        <v/>
      </c>
      <c r="I191" s="60"/>
    </row>
    <row r="192" customFormat="false" ht="15" hidden="false" customHeight="false" outlineLevel="0" collapsed="false">
      <c r="A192" s="59"/>
      <c r="B192" s="60"/>
      <c r="C192" s="41" t="str">
        <f aca="false">IF(B192="","",IFERROR(INDEX(Setup!$A$9:$A$12,MATCH(B192,Setup!$B$9:$B$12,0)),"Ticker not in Setup"))</f>
        <v/>
      </c>
      <c r="D192" s="49"/>
      <c r="E192" s="39" t="str">
        <f aca="false">IF(D192="","",D192/Setup!$B$3)</f>
        <v/>
      </c>
      <c r="F192" s="39" t="str">
        <f aca="false">IF(E192="","",MAX(Setup!$B$5,Setup!$B$6*E192))</f>
        <v/>
      </c>
      <c r="G192" s="62"/>
      <c r="H192" s="42" t="str">
        <f aca="false">IF(OR(G192="",E192=""),"",(E192-F192)/G192)</f>
        <v/>
      </c>
      <c r="I192" s="60"/>
    </row>
    <row r="193" customFormat="false" ht="15" hidden="false" customHeight="false" outlineLevel="0" collapsed="false">
      <c r="A193" s="59"/>
      <c r="B193" s="60"/>
      <c r="C193" s="41" t="str">
        <f aca="false">IF(B193="","",IFERROR(INDEX(Setup!$A$9:$A$12,MATCH(B193,Setup!$B$9:$B$12,0)),"Ticker not in Setup"))</f>
        <v/>
      </c>
      <c r="D193" s="49"/>
      <c r="E193" s="39" t="str">
        <f aca="false">IF(D193="","",D193/Setup!$B$3)</f>
        <v/>
      </c>
      <c r="F193" s="39" t="str">
        <f aca="false">IF(E193="","",MAX(Setup!$B$5,Setup!$B$6*E193))</f>
        <v/>
      </c>
      <c r="G193" s="62"/>
      <c r="H193" s="42" t="str">
        <f aca="false">IF(OR(G193="",E193=""),"",(E193-F193)/G193)</f>
        <v/>
      </c>
      <c r="I193" s="60"/>
    </row>
    <row r="194" customFormat="false" ht="15" hidden="false" customHeight="false" outlineLevel="0" collapsed="false">
      <c r="A194" s="59"/>
      <c r="B194" s="60"/>
      <c r="C194" s="41" t="str">
        <f aca="false">IF(B194="","",IFERROR(INDEX(Setup!$A$9:$A$12,MATCH(B194,Setup!$B$9:$B$12,0)),"Ticker not in Setup"))</f>
        <v/>
      </c>
      <c r="D194" s="49"/>
      <c r="E194" s="39" t="str">
        <f aca="false">IF(D194="","",D194/Setup!$B$3)</f>
        <v/>
      </c>
      <c r="F194" s="39" t="str">
        <f aca="false">IF(E194="","",MAX(Setup!$B$5,Setup!$B$6*E194))</f>
        <v/>
      </c>
      <c r="G194" s="62"/>
      <c r="H194" s="42" t="str">
        <f aca="false">IF(OR(G194="",E194=""),"",(E194-F194)/G194)</f>
        <v/>
      </c>
      <c r="I194" s="60"/>
    </row>
    <row r="195" customFormat="false" ht="15" hidden="false" customHeight="false" outlineLevel="0" collapsed="false">
      <c r="A195" s="59"/>
      <c r="B195" s="60"/>
      <c r="C195" s="41" t="str">
        <f aca="false">IF(B195="","",IFERROR(INDEX(Setup!$A$9:$A$12,MATCH(B195,Setup!$B$9:$B$12,0)),"Ticker not in Setup"))</f>
        <v/>
      </c>
      <c r="D195" s="49"/>
      <c r="E195" s="39" t="str">
        <f aca="false">IF(D195="","",D195/Setup!$B$3)</f>
        <v/>
      </c>
      <c r="F195" s="39" t="str">
        <f aca="false">IF(E195="","",MAX(Setup!$B$5,Setup!$B$6*E195))</f>
        <v/>
      </c>
      <c r="G195" s="62"/>
      <c r="H195" s="42" t="str">
        <f aca="false">IF(OR(G195="",E195=""),"",(E195-F195)/G195)</f>
        <v/>
      </c>
      <c r="I195" s="60"/>
    </row>
    <row r="196" customFormat="false" ht="15" hidden="false" customHeight="false" outlineLevel="0" collapsed="false">
      <c r="A196" s="59"/>
      <c r="B196" s="60"/>
      <c r="C196" s="41" t="str">
        <f aca="false">IF(B196="","",IFERROR(INDEX(Setup!$A$9:$A$12,MATCH(B196,Setup!$B$9:$B$12,0)),"Ticker not in Setup"))</f>
        <v/>
      </c>
      <c r="D196" s="49"/>
      <c r="E196" s="39" t="str">
        <f aca="false">IF(D196="","",D196/Setup!$B$3)</f>
        <v/>
      </c>
      <c r="F196" s="39" t="str">
        <f aca="false">IF(E196="","",MAX(Setup!$B$5,Setup!$B$6*E196))</f>
        <v/>
      </c>
      <c r="G196" s="62"/>
      <c r="H196" s="42" t="str">
        <f aca="false">IF(OR(G196="",E196=""),"",(E196-F196)/G196)</f>
        <v/>
      </c>
      <c r="I196" s="60"/>
    </row>
    <row r="197" customFormat="false" ht="15" hidden="false" customHeight="false" outlineLevel="0" collapsed="false">
      <c r="A197" s="59"/>
      <c r="B197" s="60"/>
      <c r="C197" s="41" t="str">
        <f aca="false">IF(B197="","",IFERROR(INDEX(Setup!$A$9:$A$12,MATCH(B197,Setup!$B$9:$B$12,0)),"Ticker not in Setup"))</f>
        <v/>
      </c>
      <c r="D197" s="49"/>
      <c r="E197" s="39" t="str">
        <f aca="false">IF(D197="","",D197/Setup!$B$3)</f>
        <v/>
      </c>
      <c r="F197" s="39" t="str">
        <f aca="false">IF(E197="","",MAX(Setup!$B$5,Setup!$B$6*E197))</f>
        <v/>
      </c>
      <c r="G197" s="62"/>
      <c r="H197" s="42" t="str">
        <f aca="false">IF(OR(G197="",E197=""),"",(E197-F197)/G197)</f>
        <v/>
      </c>
      <c r="I197" s="60"/>
    </row>
    <row r="198" customFormat="false" ht="15" hidden="false" customHeight="false" outlineLevel="0" collapsed="false">
      <c r="A198" s="59"/>
      <c r="B198" s="60"/>
      <c r="C198" s="41" t="str">
        <f aca="false">IF(B198="","",IFERROR(INDEX(Setup!$A$9:$A$12,MATCH(B198,Setup!$B$9:$B$12,0)),"Ticker not in Setup"))</f>
        <v/>
      </c>
      <c r="D198" s="49"/>
      <c r="E198" s="39" t="str">
        <f aca="false">IF(D198="","",D198/Setup!$B$3)</f>
        <v/>
      </c>
      <c r="F198" s="39" t="str">
        <f aca="false">IF(E198="","",MAX(Setup!$B$5,Setup!$B$6*E198))</f>
        <v/>
      </c>
      <c r="G198" s="62"/>
      <c r="H198" s="42" t="str">
        <f aca="false">IF(OR(G198="",E198=""),"",(E198-F198)/G198)</f>
        <v/>
      </c>
      <c r="I198" s="60"/>
    </row>
    <row r="199" customFormat="false" ht="15" hidden="false" customHeight="false" outlineLevel="0" collapsed="false">
      <c r="A199" s="59"/>
      <c r="B199" s="60"/>
      <c r="C199" s="41" t="str">
        <f aca="false">IF(B199="","",IFERROR(INDEX(Setup!$A$9:$A$12,MATCH(B199,Setup!$B$9:$B$12,0)),"Ticker not in Setup"))</f>
        <v/>
      </c>
      <c r="D199" s="49"/>
      <c r="E199" s="39" t="str">
        <f aca="false">IF(D199="","",D199/Setup!$B$3)</f>
        <v/>
      </c>
      <c r="F199" s="39" t="str">
        <f aca="false">IF(E199="","",MAX(Setup!$B$5,Setup!$B$6*E199))</f>
        <v/>
      </c>
      <c r="G199" s="62"/>
      <c r="H199" s="42" t="str">
        <f aca="false">IF(OR(G199="",E199=""),"",(E199-F199)/G199)</f>
        <v/>
      </c>
      <c r="I199" s="60"/>
    </row>
    <row r="200" customFormat="false" ht="15" hidden="false" customHeight="false" outlineLevel="0" collapsed="false">
      <c r="A200" s="59"/>
      <c r="B200" s="60"/>
      <c r="C200" s="41" t="str">
        <f aca="false">IF(B200="","",IFERROR(INDEX(Setup!$A$9:$A$12,MATCH(B200,Setup!$B$9:$B$12,0)),"Ticker not in Setup"))</f>
        <v/>
      </c>
      <c r="D200" s="49"/>
      <c r="E200" s="39" t="str">
        <f aca="false">IF(D200="","",D200/Setup!$B$3)</f>
        <v/>
      </c>
      <c r="F200" s="39" t="str">
        <f aca="false">IF(E200="","",MAX(Setup!$B$5,Setup!$B$6*E200))</f>
        <v/>
      </c>
      <c r="G200" s="62"/>
      <c r="H200" s="42" t="str">
        <f aca="false">IF(OR(G200="",E200=""),"",(E200-F200)/G200)</f>
        <v/>
      </c>
      <c r="I200" s="60"/>
    </row>
  </sheetData>
  <dataValidations count="1">
    <dataValidation allowBlank="true" errorStyle="stop" operator="between" showDropDown="false" showErrorMessage="false" showInputMessage="false" sqref="B2:B200" type="list">
      <formula1>Setup!$B$9:$B$12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24"/>
  </cols>
  <sheetData>
    <row r="1" customFormat="false" ht="23.85" hidden="false" customHeight="false" outlineLevel="0" collapsed="false">
      <c r="A1" s="52" t="s">
        <v>114</v>
      </c>
      <c r="B1" s="52" t="s">
        <v>120</v>
      </c>
      <c r="C1" s="52" t="s">
        <v>121</v>
      </c>
      <c r="D1" s="52" t="s">
        <v>116</v>
      </c>
      <c r="E1" s="52" t="s">
        <v>117</v>
      </c>
      <c r="F1" s="52" t="s">
        <v>122</v>
      </c>
      <c r="H1" s="6" t="s">
        <v>123</v>
      </c>
    </row>
    <row r="2" customFormat="false" ht="15" hidden="false" customHeight="false" outlineLevel="0" collapsed="false">
      <c r="A2" s="59" t="n">
        <v>46303</v>
      </c>
      <c r="B2" s="49" t="n">
        <v>4000</v>
      </c>
      <c r="C2" s="61"/>
      <c r="D2" s="39" t="n">
        <f aca="false">IF(B2="","",B2/Setup!$B$3)</f>
        <v>1089.17631041525</v>
      </c>
      <c r="E2" s="39" t="n">
        <f aca="false">IF(D2="","",MAX(Setup!$B$5,Setup!$B$6*D2))</f>
        <v>2.72294077603812</v>
      </c>
      <c r="F2" s="42" t="str">
        <f aca="false">IF(OR(C2="",D2=""),"",(D2-E2)/C2)</f>
        <v/>
      </c>
    </row>
    <row r="3" customFormat="false" ht="15" hidden="false" customHeight="false" outlineLevel="0" collapsed="false">
      <c r="A3" s="59"/>
      <c r="B3" s="49"/>
      <c r="C3" s="62"/>
      <c r="D3" s="39" t="str">
        <f aca="false">IF(B3="","",B3/Setup!$B$3)</f>
        <v/>
      </c>
      <c r="E3" s="39" t="str">
        <f aca="false">IF(D3="","",MAX(Setup!$B$5,Setup!$B$6*D3))</f>
        <v/>
      </c>
      <c r="F3" s="42" t="str">
        <f aca="false">IF(OR(C3="",D3=""),"",(D3-E3)/C3)</f>
        <v/>
      </c>
    </row>
    <row r="4" customFormat="false" ht="15" hidden="false" customHeight="false" outlineLevel="0" collapsed="false">
      <c r="A4" s="59"/>
      <c r="B4" s="49"/>
      <c r="C4" s="62"/>
      <c r="D4" s="39" t="str">
        <f aca="false">IF(B4="","",B4/Setup!$B$3)</f>
        <v/>
      </c>
      <c r="E4" s="39" t="str">
        <f aca="false">IF(D4="","",MAX(Setup!$B$5,Setup!$B$6*D4))</f>
        <v/>
      </c>
      <c r="F4" s="42" t="str">
        <f aca="false">IF(OR(C4="",D4=""),"",(D4-E4)/C4)</f>
        <v/>
      </c>
    </row>
    <row r="5" customFormat="false" ht="15" hidden="false" customHeight="false" outlineLevel="0" collapsed="false">
      <c r="A5" s="59"/>
      <c r="B5" s="49"/>
      <c r="C5" s="62"/>
      <c r="D5" s="39" t="str">
        <f aca="false">IF(B5="","",B5/Setup!$B$3)</f>
        <v/>
      </c>
      <c r="E5" s="39" t="str">
        <f aca="false">IF(D5="","",MAX(Setup!$B$5,Setup!$B$6*D5))</f>
        <v/>
      </c>
      <c r="F5" s="42" t="str">
        <f aca="false">IF(OR(C5="",D5=""),"",(D5-E5)/C5)</f>
        <v/>
      </c>
    </row>
    <row r="6" customFormat="false" ht="15" hidden="false" customHeight="false" outlineLevel="0" collapsed="false">
      <c r="A6" s="59"/>
      <c r="B6" s="49"/>
      <c r="C6" s="62"/>
      <c r="D6" s="39" t="str">
        <f aca="false">IF(B6="","",B6/Setup!$B$3)</f>
        <v/>
      </c>
      <c r="E6" s="39" t="str">
        <f aca="false">IF(D6="","",MAX(Setup!$B$5,Setup!$B$6*D6))</f>
        <v/>
      </c>
      <c r="F6" s="42" t="str">
        <f aca="false">IF(OR(C6="",D6=""),"",(D6-E6)/C6)</f>
        <v/>
      </c>
    </row>
    <row r="7" customFormat="false" ht="15" hidden="false" customHeight="false" outlineLevel="0" collapsed="false">
      <c r="A7" s="59"/>
      <c r="B7" s="49"/>
      <c r="C7" s="62"/>
      <c r="D7" s="39" t="str">
        <f aca="false">IF(B7="","",B7/Setup!$B$3)</f>
        <v/>
      </c>
      <c r="E7" s="39" t="str">
        <f aca="false">IF(D7="","",MAX(Setup!$B$5,Setup!$B$6*D7))</f>
        <v/>
      </c>
      <c r="F7" s="42" t="str">
        <f aca="false">IF(OR(C7="",D7=""),"",(D7-E7)/C7)</f>
        <v/>
      </c>
    </row>
    <row r="8" customFormat="false" ht="15" hidden="false" customHeight="false" outlineLevel="0" collapsed="false">
      <c r="A8" s="59"/>
      <c r="B8" s="49"/>
      <c r="C8" s="62"/>
      <c r="D8" s="39" t="str">
        <f aca="false">IF(B8="","",B8/Setup!$B$3)</f>
        <v/>
      </c>
      <c r="E8" s="39" t="str">
        <f aca="false">IF(D8="","",MAX(Setup!$B$5,Setup!$B$6*D8))</f>
        <v/>
      </c>
      <c r="F8" s="42" t="str">
        <f aca="false">IF(OR(C8="",D8=""),"",(D8-E8)/C8)</f>
        <v/>
      </c>
    </row>
    <row r="9" customFormat="false" ht="15" hidden="false" customHeight="false" outlineLevel="0" collapsed="false">
      <c r="A9" s="59"/>
      <c r="B9" s="49"/>
      <c r="C9" s="62"/>
      <c r="D9" s="39" t="str">
        <f aca="false">IF(B9="","",B9/Setup!$B$3)</f>
        <v/>
      </c>
      <c r="E9" s="39" t="str">
        <f aca="false">IF(D9="","",MAX(Setup!$B$5,Setup!$B$6*D9))</f>
        <v/>
      </c>
      <c r="F9" s="42" t="str">
        <f aca="false">IF(OR(C9="",D9=""),"",(D9-E9)/C9)</f>
        <v/>
      </c>
    </row>
    <row r="10" customFormat="false" ht="15" hidden="false" customHeight="false" outlineLevel="0" collapsed="false">
      <c r="A10" s="59"/>
      <c r="B10" s="49"/>
      <c r="C10" s="62"/>
      <c r="D10" s="39" t="str">
        <f aca="false">IF(B10="","",B10/Setup!$B$3)</f>
        <v/>
      </c>
      <c r="E10" s="39" t="str">
        <f aca="false">IF(D10="","",MAX(Setup!$B$5,Setup!$B$6*D10))</f>
        <v/>
      </c>
      <c r="F10" s="42" t="str">
        <f aca="false">IF(OR(C10="",D10=""),"",(D10-E10)/C10)</f>
        <v/>
      </c>
    </row>
    <row r="11" customFormat="false" ht="15" hidden="false" customHeight="false" outlineLevel="0" collapsed="false">
      <c r="A11" s="59"/>
      <c r="B11" s="49"/>
      <c r="C11" s="62"/>
      <c r="D11" s="39" t="str">
        <f aca="false">IF(B11="","",B11/Setup!$B$3)</f>
        <v/>
      </c>
      <c r="E11" s="39" t="str">
        <f aca="false">IF(D11="","",MAX(Setup!$B$5,Setup!$B$6*D11))</f>
        <v/>
      </c>
      <c r="F11" s="42" t="str">
        <f aca="false">IF(OR(C11="",D11=""),"",(D11-E11)/C11)</f>
        <v/>
      </c>
    </row>
    <row r="12" customFormat="false" ht="15" hidden="false" customHeight="false" outlineLevel="0" collapsed="false">
      <c r="A12" s="59"/>
      <c r="B12" s="49"/>
      <c r="C12" s="62"/>
      <c r="D12" s="39" t="str">
        <f aca="false">IF(B12="","",B12/Setup!$B$3)</f>
        <v/>
      </c>
      <c r="E12" s="39" t="str">
        <f aca="false">IF(D12="","",MAX(Setup!$B$5,Setup!$B$6*D12))</f>
        <v/>
      </c>
      <c r="F12" s="42" t="str">
        <f aca="false">IF(OR(C12="",D12=""),"",(D12-E12)/C12)</f>
        <v/>
      </c>
    </row>
    <row r="13" customFormat="false" ht="15" hidden="false" customHeight="false" outlineLevel="0" collapsed="false">
      <c r="A13" s="59"/>
      <c r="B13" s="49"/>
      <c r="C13" s="62"/>
      <c r="D13" s="39" t="str">
        <f aca="false">IF(B13="","",B13/Setup!$B$3)</f>
        <v/>
      </c>
      <c r="E13" s="39" t="str">
        <f aca="false">IF(D13="","",MAX(Setup!$B$5,Setup!$B$6*D13))</f>
        <v/>
      </c>
      <c r="F13" s="42" t="str">
        <f aca="false">IF(OR(C13="",D13=""),"",(D13-E13)/C13)</f>
        <v/>
      </c>
    </row>
    <row r="14" customFormat="false" ht="15" hidden="false" customHeight="false" outlineLevel="0" collapsed="false">
      <c r="A14" s="59"/>
      <c r="B14" s="49"/>
      <c r="C14" s="62"/>
      <c r="D14" s="39" t="str">
        <f aca="false">IF(B14="","",B14/Setup!$B$3)</f>
        <v/>
      </c>
      <c r="E14" s="39" t="str">
        <f aca="false">IF(D14="","",MAX(Setup!$B$5,Setup!$B$6*D14))</f>
        <v/>
      </c>
      <c r="F14" s="42" t="str">
        <f aca="false">IF(OR(C14="",D14=""),"",(D14-E14)/C14)</f>
        <v/>
      </c>
    </row>
    <row r="15" customFormat="false" ht="15" hidden="false" customHeight="false" outlineLevel="0" collapsed="false">
      <c r="A15" s="59"/>
      <c r="B15" s="49"/>
      <c r="C15" s="62"/>
      <c r="D15" s="39" t="str">
        <f aca="false">IF(B15="","",B15/Setup!$B$3)</f>
        <v/>
      </c>
      <c r="E15" s="39" t="str">
        <f aca="false">IF(D15="","",MAX(Setup!$B$5,Setup!$B$6*D15))</f>
        <v/>
      </c>
      <c r="F15" s="42" t="str">
        <f aca="false">IF(OR(C15="",D15=""),"",(D15-E15)/C15)</f>
        <v/>
      </c>
    </row>
    <row r="16" customFormat="false" ht="15" hidden="false" customHeight="false" outlineLevel="0" collapsed="false">
      <c r="A16" s="59"/>
      <c r="B16" s="49"/>
      <c r="C16" s="62"/>
      <c r="D16" s="39" t="str">
        <f aca="false">IF(B16="","",B16/Setup!$B$3)</f>
        <v/>
      </c>
      <c r="E16" s="39" t="str">
        <f aca="false">IF(D16="","",MAX(Setup!$B$5,Setup!$B$6*D16))</f>
        <v/>
      </c>
      <c r="F16" s="42" t="str">
        <f aca="false">IF(OR(C16="",D16=""),"",(D16-E16)/C16)</f>
        <v/>
      </c>
    </row>
    <row r="17" customFormat="false" ht="15" hidden="false" customHeight="false" outlineLevel="0" collapsed="false">
      <c r="A17" s="59"/>
      <c r="B17" s="49"/>
      <c r="C17" s="62"/>
      <c r="D17" s="39" t="str">
        <f aca="false">IF(B17="","",B17/Setup!$B$3)</f>
        <v/>
      </c>
      <c r="E17" s="39" t="str">
        <f aca="false">IF(D17="","",MAX(Setup!$B$5,Setup!$B$6*D17))</f>
        <v/>
      </c>
      <c r="F17" s="42" t="str">
        <f aca="false">IF(OR(C17="",D17=""),"",(D17-E17)/C17)</f>
        <v/>
      </c>
    </row>
    <row r="18" customFormat="false" ht="15" hidden="false" customHeight="false" outlineLevel="0" collapsed="false">
      <c r="A18" s="59"/>
      <c r="B18" s="49"/>
      <c r="C18" s="62"/>
      <c r="D18" s="39" t="str">
        <f aca="false">IF(B18="","",B18/Setup!$B$3)</f>
        <v/>
      </c>
      <c r="E18" s="39" t="str">
        <f aca="false">IF(D18="","",MAX(Setup!$B$5,Setup!$B$6*D18))</f>
        <v/>
      </c>
      <c r="F18" s="42" t="str">
        <f aca="false">IF(OR(C18="",D18=""),"",(D18-E18)/C18)</f>
        <v/>
      </c>
    </row>
    <row r="19" customFormat="false" ht="15" hidden="false" customHeight="false" outlineLevel="0" collapsed="false">
      <c r="A19" s="59"/>
      <c r="B19" s="49"/>
      <c r="C19" s="62"/>
      <c r="D19" s="39" t="str">
        <f aca="false">IF(B19="","",B19/Setup!$B$3)</f>
        <v/>
      </c>
      <c r="E19" s="39" t="str">
        <f aca="false">IF(D19="","",MAX(Setup!$B$5,Setup!$B$6*D19))</f>
        <v/>
      </c>
      <c r="F19" s="42" t="str">
        <f aca="false">IF(OR(C19="",D19=""),"",(D19-E19)/C19)</f>
        <v/>
      </c>
    </row>
    <row r="20" customFormat="false" ht="15" hidden="false" customHeight="false" outlineLevel="0" collapsed="false">
      <c r="A20" s="59"/>
      <c r="B20" s="49"/>
      <c r="C20" s="62"/>
      <c r="D20" s="39" t="str">
        <f aca="false">IF(B20="","",B20/Setup!$B$3)</f>
        <v/>
      </c>
      <c r="E20" s="39" t="str">
        <f aca="false">IF(D20="","",MAX(Setup!$B$5,Setup!$B$6*D20))</f>
        <v/>
      </c>
      <c r="F20" s="42" t="str">
        <f aca="false">IF(OR(C20="",D20=""),"",(D20-E20)/C20)</f>
        <v/>
      </c>
    </row>
    <row r="21" customFormat="false" ht="15" hidden="false" customHeight="false" outlineLevel="0" collapsed="false">
      <c r="A21" s="59"/>
      <c r="B21" s="49"/>
      <c r="C21" s="62"/>
      <c r="D21" s="39" t="str">
        <f aca="false">IF(B21="","",B21/Setup!$B$3)</f>
        <v/>
      </c>
      <c r="E21" s="39" t="str">
        <f aca="false">IF(D21="","",MAX(Setup!$B$5,Setup!$B$6*D21))</f>
        <v/>
      </c>
      <c r="F21" s="42" t="str">
        <f aca="false">IF(OR(C21="",D21=""),"",(D21-E21)/C21)</f>
        <v/>
      </c>
    </row>
    <row r="22" customFormat="false" ht="15" hidden="false" customHeight="false" outlineLevel="0" collapsed="false">
      <c r="A22" s="59"/>
      <c r="B22" s="49"/>
      <c r="C22" s="62"/>
      <c r="D22" s="39" t="str">
        <f aca="false">IF(B22="","",B22/Setup!$B$3)</f>
        <v/>
      </c>
      <c r="E22" s="39" t="str">
        <f aca="false">IF(D22="","",MAX(Setup!$B$5,Setup!$B$6*D22))</f>
        <v/>
      </c>
      <c r="F22" s="42" t="str">
        <f aca="false">IF(OR(C22="",D22=""),"",(D22-E22)/C22)</f>
        <v/>
      </c>
    </row>
    <row r="23" customFormat="false" ht="15" hidden="false" customHeight="false" outlineLevel="0" collapsed="false">
      <c r="A23" s="59"/>
      <c r="B23" s="49"/>
      <c r="C23" s="62"/>
      <c r="D23" s="39" t="str">
        <f aca="false">IF(B23="","",B23/Setup!$B$3)</f>
        <v/>
      </c>
      <c r="E23" s="39" t="str">
        <f aca="false">IF(D23="","",MAX(Setup!$B$5,Setup!$B$6*D23))</f>
        <v/>
      </c>
      <c r="F23" s="42" t="str">
        <f aca="false">IF(OR(C23="",D23=""),"",(D23-E23)/C23)</f>
        <v/>
      </c>
    </row>
    <row r="24" customFormat="false" ht="15" hidden="false" customHeight="false" outlineLevel="0" collapsed="false">
      <c r="A24" s="59"/>
      <c r="B24" s="49"/>
      <c r="C24" s="62"/>
      <c r="D24" s="39" t="str">
        <f aca="false">IF(B24="","",B24/Setup!$B$3)</f>
        <v/>
      </c>
      <c r="E24" s="39" t="str">
        <f aca="false">IF(D24="","",MAX(Setup!$B$5,Setup!$B$6*D24))</f>
        <v/>
      </c>
      <c r="F24" s="42" t="str">
        <f aca="false">IF(OR(C24="",D24=""),"",(D24-E24)/C24)</f>
        <v/>
      </c>
    </row>
    <row r="25" customFormat="false" ht="15" hidden="false" customHeight="false" outlineLevel="0" collapsed="false">
      <c r="A25" s="59"/>
      <c r="B25" s="49"/>
      <c r="C25" s="62"/>
      <c r="D25" s="39" t="str">
        <f aca="false">IF(B25="","",B25/Setup!$B$3)</f>
        <v/>
      </c>
      <c r="E25" s="39" t="str">
        <f aca="false">IF(D25="","",MAX(Setup!$B$5,Setup!$B$6*D25))</f>
        <v/>
      </c>
      <c r="F25" s="42" t="str">
        <f aca="false">IF(OR(C25="",D25=""),"",(D25-E25)/C25)</f>
        <v/>
      </c>
    </row>
    <row r="26" customFormat="false" ht="15" hidden="false" customHeight="false" outlineLevel="0" collapsed="false">
      <c r="A26" s="59"/>
      <c r="B26" s="49"/>
      <c r="C26" s="62"/>
      <c r="D26" s="39" t="str">
        <f aca="false">IF(B26="","",B26/Setup!$B$3)</f>
        <v/>
      </c>
      <c r="E26" s="39" t="str">
        <f aca="false">IF(D26="","",MAX(Setup!$B$5,Setup!$B$6*D26))</f>
        <v/>
      </c>
      <c r="F26" s="42" t="str">
        <f aca="false">IF(OR(C26="",D26=""),"",(D26-E26)/C26)</f>
        <v/>
      </c>
    </row>
    <row r="27" customFormat="false" ht="15" hidden="false" customHeight="false" outlineLevel="0" collapsed="false">
      <c r="A27" s="59"/>
      <c r="B27" s="49"/>
      <c r="C27" s="62"/>
      <c r="D27" s="39" t="str">
        <f aca="false">IF(B27="","",B27/Setup!$B$3)</f>
        <v/>
      </c>
      <c r="E27" s="39" t="str">
        <f aca="false">IF(D27="","",MAX(Setup!$B$5,Setup!$B$6*D27))</f>
        <v/>
      </c>
      <c r="F27" s="42" t="str">
        <f aca="false">IF(OR(C27="",D27=""),"",(D27-E27)/C27)</f>
        <v/>
      </c>
    </row>
    <row r="28" customFormat="false" ht="15" hidden="false" customHeight="false" outlineLevel="0" collapsed="false">
      <c r="A28" s="59"/>
      <c r="B28" s="49"/>
      <c r="C28" s="62"/>
      <c r="D28" s="39" t="str">
        <f aca="false">IF(B28="","",B28/Setup!$B$3)</f>
        <v/>
      </c>
      <c r="E28" s="39" t="str">
        <f aca="false">IF(D28="","",MAX(Setup!$B$5,Setup!$B$6*D28))</f>
        <v/>
      </c>
      <c r="F28" s="42" t="str">
        <f aca="false">IF(OR(C28="",D28=""),"",(D28-E28)/C28)</f>
        <v/>
      </c>
    </row>
    <row r="29" customFormat="false" ht="15" hidden="false" customHeight="false" outlineLevel="0" collapsed="false">
      <c r="A29" s="59"/>
      <c r="B29" s="49"/>
      <c r="C29" s="62"/>
      <c r="D29" s="39" t="str">
        <f aca="false">IF(B29="","",B29/Setup!$B$3)</f>
        <v/>
      </c>
      <c r="E29" s="39" t="str">
        <f aca="false">IF(D29="","",MAX(Setup!$B$5,Setup!$B$6*D29))</f>
        <v/>
      </c>
      <c r="F29" s="42" t="str">
        <f aca="false">IF(OR(C29="",D29=""),"",(D29-E29)/C29)</f>
        <v/>
      </c>
    </row>
    <row r="30" customFormat="false" ht="15" hidden="false" customHeight="false" outlineLevel="0" collapsed="false">
      <c r="A30" s="59"/>
      <c r="B30" s="49"/>
      <c r="C30" s="62"/>
      <c r="D30" s="39" t="str">
        <f aca="false">IF(B30="","",B30/Setup!$B$3)</f>
        <v/>
      </c>
      <c r="E30" s="39" t="str">
        <f aca="false">IF(D30="","",MAX(Setup!$B$5,Setup!$B$6*D30))</f>
        <v/>
      </c>
      <c r="F30" s="42" t="str">
        <f aca="false">IF(OR(C30="",D30=""),"",(D30-E30)/C30)</f>
        <v/>
      </c>
    </row>
    <row r="31" customFormat="false" ht="15" hidden="false" customHeight="false" outlineLevel="0" collapsed="false">
      <c r="A31" s="59"/>
      <c r="B31" s="49"/>
      <c r="C31" s="62"/>
      <c r="D31" s="39" t="str">
        <f aca="false">IF(B31="","",B31/Setup!$B$3)</f>
        <v/>
      </c>
      <c r="E31" s="39" t="str">
        <f aca="false">IF(D31="","",MAX(Setup!$B$5,Setup!$B$6*D31))</f>
        <v/>
      </c>
      <c r="F31" s="42" t="str">
        <f aca="false">IF(OR(C31="",D31=""),"",(D31-E31)/C31)</f>
        <v/>
      </c>
    </row>
    <row r="32" customFormat="false" ht="15" hidden="false" customHeight="false" outlineLevel="0" collapsed="false">
      <c r="A32" s="59"/>
      <c r="B32" s="49"/>
      <c r="C32" s="62"/>
      <c r="D32" s="39" t="str">
        <f aca="false">IF(B32="","",B32/Setup!$B$3)</f>
        <v/>
      </c>
      <c r="E32" s="39" t="str">
        <f aca="false">IF(D32="","",MAX(Setup!$B$5,Setup!$B$6*D32))</f>
        <v/>
      </c>
      <c r="F32" s="42" t="str">
        <f aca="false">IF(OR(C32="",D32=""),"",(D32-E32)/C32)</f>
        <v/>
      </c>
    </row>
    <row r="33" customFormat="false" ht="15" hidden="false" customHeight="false" outlineLevel="0" collapsed="false">
      <c r="A33" s="59"/>
      <c r="B33" s="49"/>
      <c r="C33" s="62"/>
      <c r="D33" s="39" t="str">
        <f aca="false">IF(B33="","",B33/Setup!$B$3)</f>
        <v/>
      </c>
      <c r="E33" s="39" t="str">
        <f aca="false">IF(D33="","",MAX(Setup!$B$5,Setup!$B$6*D33))</f>
        <v/>
      </c>
      <c r="F33" s="42" t="str">
        <f aca="false">IF(OR(C33="",D33=""),"",(D33-E33)/C33)</f>
        <v/>
      </c>
    </row>
    <row r="34" customFormat="false" ht="15" hidden="false" customHeight="false" outlineLevel="0" collapsed="false">
      <c r="A34" s="59"/>
      <c r="B34" s="49"/>
      <c r="C34" s="62"/>
      <c r="D34" s="39" t="str">
        <f aca="false">IF(B34="","",B34/Setup!$B$3)</f>
        <v/>
      </c>
      <c r="E34" s="39" t="str">
        <f aca="false">IF(D34="","",MAX(Setup!$B$5,Setup!$B$6*D34))</f>
        <v/>
      </c>
      <c r="F34" s="42" t="str">
        <f aca="false">IF(OR(C34="",D34=""),"",(D34-E34)/C34)</f>
        <v/>
      </c>
    </row>
    <row r="35" customFormat="false" ht="15" hidden="false" customHeight="false" outlineLevel="0" collapsed="false">
      <c r="A35" s="59"/>
      <c r="B35" s="49"/>
      <c r="C35" s="62"/>
      <c r="D35" s="39" t="str">
        <f aca="false">IF(B35="","",B35/Setup!$B$3)</f>
        <v/>
      </c>
      <c r="E35" s="39" t="str">
        <f aca="false">IF(D35="","",MAX(Setup!$B$5,Setup!$B$6*D35))</f>
        <v/>
      </c>
      <c r="F35" s="42" t="str">
        <f aca="false">IF(OR(C35="",D35=""),"",(D35-E35)/C35)</f>
        <v/>
      </c>
    </row>
    <row r="36" customFormat="false" ht="15" hidden="false" customHeight="false" outlineLevel="0" collapsed="false">
      <c r="A36" s="59"/>
      <c r="B36" s="49"/>
      <c r="C36" s="62"/>
      <c r="D36" s="39" t="str">
        <f aca="false">IF(B36="","",B36/Setup!$B$3)</f>
        <v/>
      </c>
      <c r="E36" s="39" t="str">
        <f aca="false">IF(D36="","",MAX(Setup!$B$5,Setup!$B$6*D36))</f>
        <v/>
      </c>
      <c r="F36" s="42" t="str">
        <f aca="false">IF(OR(C36="",D36=""),"",(D36-E36)/C36)</f>
        <v/>
      </c>
    </row>
    <row r="37" customFormat="false" ht="15" hidden="false" customHeight="false" outlineLevel="0" collapsed="false">
      <c r="A37" s="59"/>
      <c r="B37" s="49"/>
      <c r="C37" s="62"/>
      <c r="D37" s="39" t="str">
        <f aca="false">IF(B37="","",B37/Setup!$B$3)</f>
        <v/>
      </c>
      <c r="E37" s="39" t="str">
        <f aca="false">IF(D37="","",MAX(Setup!$B$5,Setup!$B$6*D37))</f>
        <v/>
      </c>
      <c r="F37" s="42" t="str">
        <f aca="false">IF(OR(C37="",D37=""),"",(D37-E37)/C37)</f>
        <v/>
      </c>
    </row>
    <row r="38" customFormat="false" ht="15" hidden="false" customHeight="false" outlineLevel="0" collapsed="false">
      <c r="A38" s="59"/>
      <c r="B38" s="49"/>
      <c r="C38" s="62"/>
      <c r="D38" s="39" t="str">
        <f aca="false">IF(B38="","",B38/Setup!$B$3)</f>
        <v/>
      </c>
      <c r="E38" s="39" t="str">
        <f aca="false">IF(D38="","",MAX(Setup!$B$5,Setup!$B$6*D38))</f>
        <v/>
      </c>
      <c r="F38" s="42" t="str">
        <f aca="false">IF(OR(C38="",D38=""),"",(D38-E38)/C38)</f>
        <v/>
      </c>
    </row>
    <row r="39" customFormat="false" ht="15" hidden="false" customHeight="false" outlineLevel="0" collapsed="false">
      <c r="A39" s="59"/>
      <c r="B39" s="49"/>
      <c r="C39" s="62"/>
      <c r="D39" s="39" t="str">
        <f aca="false">IF(B39="","",B39/Setup!$B$3)</f>
        <v/>
      </c>
      <c r="E39" s="39" t="str">
        <f aca="false">IF(D39="","",MAX(Setup!$B$5,Setup!$B$6*D39))</f>
        <v/>
      </c>
      <c r="F39" s="42" t="str">
        <f aca="false">IF(OR(C39="",D39=""),"",(D39-E39)/C39)</f>
        <v/>
      </c>
    </row>
    <row r="40" customFormat="false" ht="15" hidden="false" customHeight="false" outlineLevel="0" collapsed="false">
      <c r="A40" s="59"/>
      <c r="B40" s="49"/>
      <c r="C40" s="62"/>
      <c r="D40" s="39" t="str">
        <f aca="false">IF(B40="","",B40/Setup!$B$3)</f>
        <v/>
      </c>
      <c r="E40" s="39" t="str">
        <f aca="false">IF(D40="","",MAX(Setup!$B$5,Setup!$B$6*D40))</f>
        <v/>
      </c>
      <c r="F40" s="42" t="str">
        <f aca="false">IF(OR(C40="",D40=""),"",(D40-E40)/C40)</f>
        <v/>
      </c>
    </row>
    <row r="41" customFormat="false" ht="15" hidden="false" customHeight="false" outlineLevel="0" collapsed="false">
      <c r="A41" s="59"/>
      <c r="B41" s="49"/>
      <c r="C41" s="62"/>
      <c r="D41" s="39" t="str">
        <f aca="false">IF(B41="","",B41/Setup!$B$3)</f>
        <v/>
      </c>
      <c r="E41" s="39" t="str">
        <f aca="false">IF(D41="","",MAX(Setup!$B$5,Setup!$B$6*D41))</f>
        <v/>
      </c>
      <c r="F41" s="42" t="str">
        <f aca="false">IF(OR(C41="",D41=""),"",(D41-E41)/C41)</f>
        <v/>
      </c>
    </row>
    <row r="42" customFormat="false" ht="15" hidden="false" customHeight="false" outlineLevel="0" collapsed="false">
      <c r="A42" s="59"/>
      <c r="B42" s="49"/>
      <c r="C42" s="62"/>
      <c r="D42" s="39" t="str">
        <f aca="false">IF(B42="","",B42/Setup!$B$3)</f>
        <v/>
      </c>
      <c r="E42" s="39" t="str">
        <f aca="false">IF(D42="","",MAX(Setup!$B$5,Setup!$B$6*D42))</f>
        <v/>
      </c>
      <c r="F42" s="42" t="str">
        <f aca="false">IF(OR(C42="",D42=""),"",(D42-E42)/C42)</f>
        <v/>
      </c>
    </row>
    <row r="43" customFormat="false" ht="15" hidden="false" customHeight="false" outlineLevel="0" collapsed="false">
      <c r="A43" s="59"/>
      <c r="B43" s="49"/>
      <c r="C43" s="62"/>
      <c r="D43" s="39" t="str">
        <f aca="false">IF(B43="","",B43/Setup!$B$3)</f>
        <v/>
      </c>
      <c r="E43" s="39" t="str">
        <f aca="false">IF(D43="","",MAX(Setup!$B$5,Setup!$B$6*D43))</f>
        <v/>
      </c>
      <c r="F43" s="42" t="str">
        <f aca="false">IF(OR(C43="",D43=""),"",(D43-E43)/C43)</f>
        <v/>
      </c>
    </row>
    <row r="44" customFormat="false" ht="15" hidden="false" customHeight="false" outlineLevel="0" collapsed="false">
      <c r="A44" s="59"/>
      <c r="B44" s="49"/>
      <c r="C44" s="62"/>
      <c r="D44" s="39" t="str">
        <f aca="false">IF(B44="","",B44/Setup!$B$3)</f>
        <v/>
      </c>
      <c r="E44" s="39" t="str">
        <f aca="false">IF(D44="","",MAX(Setup!$B$5,Setup!$B$6*D44))</f>
        <v/>
      </c>
      <c r="F44" s="42" t="str">
        <f aca="false">IF(OR(C44="",D44=""),"",(D44-E44)/C44)</f>
        <v/>
      </c>
    </row>
    <row r="45" customFormat="false" ht="15" hidden="false" customHeight="false" outlineLevel="0" collapsed="false">
      <c r="A45" s="59"/>
      <c r="B45" s="49"/>
      <c r="C45" s="62"/>
      <c r="D45" s="39" t="str">
        <f aca="false">IF(B45="","",B45/Setup!$B$3)</f>
        <v/>
      </c>
      <c r="E45" s="39" t="str">
        <f aca="false">IF(D45="","",MAX(Setup!$B$5,Setup!$B$6*D45))</f>
        <v/>
      </c>
      <c r="F45" s="42" t="str">
        <f aca="false">IF(OR(C45="",D45=""),"",(D45-E45)/C45)</f>
        <v/>
      </c>
    </row>
    <row r="46" customFormat="false" ht="15" hidden="false" customHeight="false" outlineLevel="0" collapsed="false">
      <c r="A46" s="59"/>
      <c r="B46" s="49"/>
      <c r="C46" s="62"/>
      <c r="D46" s="39" t="str">
        <f aca="false">IF(B46="","",B46/Setup!$B$3)</f>
        <v/>
      </c>
      <c r="E46" s="39" t="str">
        <f aca="false">IF(D46="","",MAX(Setup!$B$5,Setup!$B$6*D46))</f>
        <v/>
      </c>
      <c r="F46" s="42" t="str">
        <f aca="false">IF(OR(C46="",D46=""),"",(D46-E46)/C46)</f>
        <v/>
      </c>
    </row>
    <row r="47" customFormat="false" ht="15" hidden="false" customHeight="false" outlineLevel="0" collapsed="false">
      <c r="A47" s="59"/>
      <c r="B47" s="49"/>
      <c r="C47" s="62"/>
      <c r="D47" s="39" t="str">
        <f aca="false">IF(B47="","",B47/Setup!$B$3)</f>
        <v/>
      </c>
      <c r="E47" s="39" t="str">
        <f aca="false">IF(D47="","",MAX(Setup!$B$5,Setup!$B$6*D47))</f>
        <v/>
      </c>
      <c r="F47" s="42" t="str">
        <f aca="false">IF(OR(C47="",D47=""),"",(D47-E47)/C47)</f>
        <v/>
      </c>
    </row>
    <row r="48" customFormat="false" ht="15" hidden="false" customHeight="false" outlineLevel="0" collapsed="false">
      <c r="A48" s="59"/>
      <c r="B48" s="49"/>
      <c r="C48" s="62"/>
      <c r="D48" s="39" t="str">
        <f aca="false">IF(B48="","",B48/Setup!$B$3)</f>
        <v/>
      </c>
      <c r="E48" s="39" t="str">
        <f aca="false">IF(D48="","",MAX(Setup!$B$5,Setup!$B$6*D48))</f>
        <v/>
      </c>
      <c r="F48" s="42" t="str">
        <f aca="false">IF(OR(C48="",D48=""),"",(D48-E48)/C48)</f>
        <v/>
      </c>
    </row>
    <row r="49" customFormat="false" ht="15" hidden="false" customHeight="false" outlineLevel="0" collapsed="false">
      <c r="A49" s="59"/>
      <c r="B49" s="49"/>
      <c r="C49" s="62"/>
      <c r="D49" s="39" t="str">
        <f aca="false">IF(B49="","",B49/Setup!$B$3)</f>
        <v/>
      </c>
      <c r="E49" s="39" t="str">
        <f aca="false">IF(D49="","",MAX(Setup!$B$5,Setup!$B$6*D49))</f>
        <v/>
      </c>
      <c r="F49" s="42" t="str">
        <f aca="false">IF(OR(C49="",D49=""),"",(D49-E49)/C49)</f>
        <v/>
      </c>
    </row>
    <row r="50" customFormat="false" ht="15" hidden="false" customHeight="false" outlineLevel="0" collapsed="false">
      <c r="A50" s="59"/>
      <c r="B50" s="49"/>
      <c r="C50" s="62"/>
      <c r="D50" s="39" t="str">
        <f aca="false">IF(B50="","",B50/Setup!$B$3)</f>
        <v/>
      </c>
      <c r="E50" s="39" t="str">
        <f aca="false">IF(D50="","",MAX(Setup!$B$5,Setup!$B$6*D50))</f>
        <v/>
      </c>
      <c r="F50" s="42" t="str">
        <f aca="false">IF(OR(C50="",D50=""),"",(D50-E50)/C50)</f>
        <v/>
      </c>
    </row>
    <row r="51" customFormat="false" ht="15" hidden="false" customHeight="false" outlineLevel="0" collapsed="false">
      <c r="A51" s="59"/>
      <c r="B51" s="49"/>
      <c r="C51" s="62"/>
      <c r="D51" s="39" t="str">
        <f aca="false">IF(B51="","",B51/Setup!$B$3)</f>
        <v/>
      </c>
      <c r="E51" s="39" t="str">
        <f aca="false">IF(D51="","",MAX(Setup!$B$5,Setup!$B$6*D51))</f>
        <v/>
      </c>
      <c r="F51" s="42" t="str">
        <f aca="false">IF(OR(C51="",D51=""),"",(D51-E51)/C51)</f>
        <v/>
      </c>
    </row>
    <row r="52" customFormat="false" ht="15" hidden="false" customHeight="false" outlineLevel="0" collapsed="false">
      <c r="A52" s="59"/>
      <c r="B52" s="49"/>
      <c r="C52" s="62"/>
      <c r="D52" s="39" t="str">
        <f aca="false">IF(B52="","",B52/Setup!$B$3)</f>
        <v/>
      </c>
      <c r="E52" s="39" t="str">
        <f aca="false">IF(D52="","",MAX(Setup!$B$5,Setup!$B$6*D52))</f>
        <v/>
      </c>
      <c r="F52" s="42" t="str">
        <f aca="false">IF(OR(C52="",D52=""),"",(D52-E52)/C52)</f>
        <v/>
      </c>
    </row>
    <row r="53" customFormat="false" ht="15" hidden="false" customHeight="false" outlineLevel="0" collapsed="false">
      <c r="A53" s="59"/>
      <c r="B53" s="49"/>
      <c r="C53" s="62"/>
      <c r="D53" s="39" t="str">
        <f aca="false">IF(B53="","",B53/Setup!$B$3)</f>
        <v/>
      </c>
      <c r="E53" s="39" t="str">
        <f aca="false">IF(D53="","",MAX(Setup!$B$5,Setup!$B$6*D53))</f>
        <v/>
      </c>
      <c r="F53" s="42" t="str">
        <f aca="false">IF(OR(C53="",D53=""),"",(D53-E53)/C53)</f>
        <v/>
      </c>
    </row>
    <row r="54" customFormat="false" ht="15" hidden="false" customHeight="false" outlineLevel="0" collapsed="false">
      <c r="A54" s="59"/>
      <c r="B54" s="49"/>
      <c r="C54" s="62"/>
      <c r="D54" s="39" t="str">
        <f aca="false">IF(B54="","",B54/Setup!$B$3)</f>
        <v/>
      </c>
      <c r="E54" s="39" t="str">
        <f aca="false">IF(D54="","",MAX(Setup!$B$5,Setup!$B$6*D54))</f>
        <v/>
      </c>
      <c r="F54" s="42" t="str">
        <f aca="false">IF(OR(C54="",D54=""),"",(D54-E54)/C54)</f>
        <v/>
      </c>
    </row>
    <row r="55" customFormat="false" ht="15" hidden="false" customHeight="false" outlineLevel="0" collapsed="false">
      <c r="A55" s="59"/>
      <c r="B55" s="49"/>
      <c r="C55" s="62"/>
      <c r="D55" s="39" t="str">
        <f aca="false">IF(B55="","",B55/Setup!$B$3)</f>
        <v/>
      </c>
      <c r="E55" s="39" t="str">
        <f aca="false">IF(D55="","",MAX(Setup!$B$5,Setup!$B$6*D55))</f>
        <v/>
      </c>
      <c r="F55" s="42" t="str">
        <f aca="false">IF(OR(C55="",D55=""),"",(D55-E55)/C55)</f>
        <v/>
      </c>
    </row>
    <row r="56" customFormat="false" ht="15" hidden="false" customHeight="false" outlineLevel="0" collapsed="false">
      <c r="A56" s="59"/>
      <c r="B56" s="49"/>
      <c r="C56" s="62"/>
      <c r="D56" s="39" t="str">
        <f aca="false">IF(B56="","",B56/Setup!$B$3)</f>
        <v/>
      </c>
      <c r="E56" s="39" t="str">
        <f aca="false">IF(D56="","",MAX(Setup!$B$5,Setup!$B$6*D56))</f>
        <v/>
      </c>
      <c r="F56" s="42" t="str">
        <f aca="false">IF(OR(C56="",D56=""),"",(D56-E56)/C56)</f>
        <v/>
      </c>
    </row>
    <row r="57" customFormat="false" ht="15" hidden="false" customHeight="false" outlineLevel="0" collapsed="false">
      <c r="A57" s="59"/>
      <c r="B57" s="49"/>
      <c r="C57" s="62"/>
      <c r="D57" s="39" t="str">
        <f aca="false">IF(B57="","",B57/Setup!$B$3)</f>
        <v/>
      </c>
      <c r="E57" s="39" t="str">
        <f aca="false">IF(D57="","",MAX(Setup!$B$5,Setup!$B$6*D57))</f>
        <v/>
      </c>
      <c r="F57" s="42" t="str">
        <f aca="false">IF(OR(C57="",D57=""),"",(D57-E57)/C57)</f>
        <v/>
      </c>
    </row>
    <row r="58" customFormat="false" ht="15" hidden="false" customHeight="false" outlineLevel="0" collapsed="false">
      <c r="A58" s="59"/>
      <c r="B58" s="49"/>
      <c r="C58" s="62"/>
      <c r="D58" s="39" t="str">
        <f aca="false">IF(B58="","",B58/Setup!$B$3)</f>
        <v/>
      </c>
      <c r="E58" s="39" t="str">
        <f aca="false">IF(D58="","",MAX(Setup!$B$5,Setup!$B$6*D58))</f>
        <v/>
      </c>
      <c r="F58" s="42" t="str">
        <f aca="false">IF(OR(C58="",D58=""),"",(D58-E58)/C58)</f>
        <v/>
      </c>
    </row>
    <row r="59" customFormat="false" ht="15" hidden="false" customHeight="false" outlineLevel="0" collapsed="false">
      <c r="A59" s="59"/>
      <c r="B59" s="49"/>
      <c r="C59" s="62"/>
      <c r="D59" s="39" t="str">
        <f aca="false">IF(B59="","",B59/Setup!$B$3)</f>
        <v/>
      </c>
      <c r="E59" s="39" t="str">
        <f aca="false">IF(D59="","",MAX(Setup!$B$5,Setup!$B$6*D59))</f>
        <v/>
      </c>
      <c r="F59" s="42" t="str">
        <f aca="false">IF(OR(C59="",D59=""),"",(D59-E59)/C59)</f>
        <v/>
      </c>
    </row>
    <row r="60" customFormat="false" ht="15" hidden="false" customHeight="false" outlineLevel="0" collapsed="false">
      <c r="A60" s="59"/>
      <c r="B60" s="49"/>
      <c r="C60" s="62"/>
      <c r="D60" s="39" t="str">
        <f aca="false">IF(B60="","",B60/Setup!$B$3)</f>
        <v/>
      </c>
      <c r="E60" s="39" t="str">
        <f aca="false">IF(D60="","",MAX(Setup!$B$5,Setup!$B$6*D60))</f>
        <v/>
      </c>
      <c r="F60" s="42" t="str">
        <f aca="false">IF(OR(C60="",D60=""),"",(D60-E60)/C60)</f>
        <v/>
      </c>
    </row>
    <row r="61" customFormat="false" ht="15" hidden="false" customHeight="false" outlineLevel="0" collapsed="false">
      <c r="A61" s="59"/>
      <c r="B61" s="49"/>
      <c r="C61" s="62"/>
      <c r="D61" s="39" t="str">
        <f aca="false">IF(B61="","",B61/Setup!$B$3)</f>
        <v/>
      </c>
      <c r="E61" s="39" t="str">
        <f aca="false">IF(D61="","",MAX(Setup!$B$5,Setup!$B$6*D61))</f>
        <v/>
      </c>
      <c r="F61" s="42" t="str">
        <f aca="false">IF(OR(C61="",D61=""),"",(D61-E61)/C61)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4"/>
    <col collapsed="false" customWidth="true" hidden="false" outlineLevel="0" max="8" min="8" style="0" width="3"/>
    <col collapsed="false" customWidth="true" hidden="false" outlineLevel="0" max="14" min="9" style="0" width="11"/>
  </cols>
  <sheetData>
    <row r="1" customFormat="false" ht="15" hidden="false" customHeight="false" outlineLevel="0" collapsed="false">
      <c r="A1" s="44" t="s">
        <v>124</v>
      </c>
      <c r="B1" s="44" t="s">
        <v>32</v>
      </c>
      <c r="C1" s="44" t="s">
        <v>34</v>
      </c>
      <c r="D1" s="44" t="s">
        <v>36</v>
      </c>
      <c r="E1" s="44" t="s">
        <v>38</v>
      </c>
      <c r="F1" s="44" t="s">
        <v>41</v>
      </c>
      <c r="G1" s="44" t="s">
        <v>44</v>
      </c>
      <c r="I1" s="44" t="s">
        <v>125</v>
      </c>
      <c r="J1" s="44" t="s">
        <v>126</v>
      </c>
      <c r="K1" s="44" t="s">
        <v>127</v>
      </c>
      <c r="L1" s="44" t="s">
        <v>128</v>
      </c>
      <c r="M1" s="44" t="s">
        <v>129</v>
      </c>
      <c r="N1" s="44" t="s">
        <v>130</v>
      </c>
    </row>
    <row r="2" customFormat="false" ht="15" hidden="false" customHeight="false" outlineLevel="0" collapsed="false">
      <c r="A2" s="59" t="n">
        <v>46303</v>
      </c>
      <c r="B2" s="61"/>
      <c r="C2" s="61"/>
      <c r="D2" s="61"/>
      <c r="E2" s="61"/>
      <c r="F2" s="61"/>
      <c r="G2" s="61"/>
      <c r="I2" s="63" t="str">
        <f aca="false">IF(OR(B2="",B$2=""),"",B2/B$2*100)</f>
        <v/>
      </c>
      <c r="J2" s="63" t="str">
        <f aca="false">IF(OR(C2="",C$2=""),"",C2/C$2*100)</f>
        <v/>
      </c>
      <c r="K2" s="63" t="str">
        <f aca="false">IF(OR(D2="",D$2=""),"",D2/D$2*100)</f>
        <v/>
      </c>
      <c r="L2" s="63" t="str">
        <f aca="false">IF(OR(E2="",E$2=""),"",E2/E$2*100)</f>
        <v/>
      </c>
      <c r="M2" s="63" t="str">
        <f aca="false">IF(OR(F2="",F$2=""),"",F2/F$2*100)</f>
        <v/>
      </c>
      <c r="N2" s="63" t="str">
        <f aca="false">IF(OR(G2="",G$2=""),"",G2/G$2*100)</f>
        <v/>
      </c>
    </row>
    <row r="3" customFormat="false" ht="15" hidden="false" customHeight="false" outlineLevel="0" collapsed="false">
      <c r="A3" s="59"/>
      <c r="B3" s="62"/>
      <c r="C3" s="62"/>
      <c r="D3" s="62"/>
      <c r="E3" s="62"/>
      <c r="F3" s="62"/>
      <c r="G3" s="62"/>
      <c r="I3" s="63" t="str">
        <f aca="false">IF(OR(B3="",B$2=""),"",B3/B$2*100)</f>
        <v/>
      </c>
      <c r="J3" s="63" t="str">
        <f aca="false">IF(OR(C3="",C$2=""),"",C3/C$2*100)</f>
        <v/>
      </c>
      <c r="K3" s="63" t="str">
        <f aca="false">IF(OR(D3="",D$2=""),"",D3/D$2*100)</f>
        <v/>
      </c>
      <c r="L3" s="63" t="str">
        <f aca="false">IF(OR(E3="",E$2=""),"",E3/E$2*100)</f>
        <v/>
      </c>
      <c r="M3" s="63" t="str">
        <f aca="false">IF(OR(F3="",F$2=""),"",F3/F$2*100)</f>
        <v/>
      </c>
      <c r="N3" s="63" t="str">
        <f aca="false">IF(OR(G3="",G$2=""),"",G3/G$2*100)</f>
        <v/>
      </c>
    </row>
    <row r="4" customFormat="false" ht="15" hidden="false" customHeight="false" outlineLevel="0" collapsed="false">
      <c r="A4" s="59"/>
      <c r="B4" s="62"/>
      <c r="C4" s="62"/>
      <c r="D4" s="62"/>
      <c r="E4" s="62"/>
      <c r="F4" s="62"/>
      <c r="G4" s="62"/>
      <c r="I4" s="63" t="str">
        <f aca="false">IF(OR(B4="",B$2=""),"",B4/B$2*100)</f>
        <v/>
      </c>
      <c r="J4" s="63" t="str">
        <f aca="false">IF(OR(C4="",C$2=""),"",C4/C$2*100)</f>
        <v/>
      </c>
      <c r="K4" s="63" t="str">
        <f aca="false">IF(OR(D4="",D$2=""),"",D4/D$2*100)</f>
        <v/>
      </c>
      <c r="L4" s="63" t="str">
        <f aca="false">IF(OR(E4="",E$2=""),"",E4/E$2*100)</f>
        <v/>
      </c>
      <c r="M4" s="63" t="str">
        <f aca="false">IF(OR(F4="",F$2=""),"",F4/F$2*100)</f>
        <v/>
      </c>
      <c r="N4" s="63" t="str">
        <f aca="false">IF(OR(G4="",G$2=""),"",G4/G$2*100)</f>
        <v/>
      </c>
    </row>
    <row r="5" customFormat="false" ht="15" hidden="false" customHeight="false" outlineLevel="0" collapsed="false">
      <c r="A5" s="59"/>
      <c r="B5" s="62"/>
      <c r="C5" s="62"/>
      <c r="D5" s="62"/>
      <c r="E5" s="62"/>
      <c r="F5" s="62"/>
      <c r="G5" s="62"/>
      <c r="I5" s="63" t="str">
        <f aca="false">IF(OR(B5="",B$2=""),"",B5/B$2*100)</f>
        <v/>
      </c>
      <c r="J5" s="63" t="str">
        <f aca="false">IF(OR(C5="",C$2=""),"",C5/C$2*100)</f>
        <v/>
      </c>
      <c r="K5" s="63" t="str">
        <f aca="false">IF(OR(D5="",D$2=""),"",D5/D$2*100)</f>
        <v/>
      </c>
      <c r="L5" s="63" t="str">
        <f aca="false">IF(OR(E5="",E$2=""),"",E5/E$2*100)</f>
        <v/>
      </c>
      <c r="M5" s="63" t="str">
        <f aca="false">IF(OR(F5="",F$2=""),"",F5/F$2*100)</f>
        <v/>
      </c>
      <c r="N5" s="63" t="str">
        <f aca="false">IF(OR(G5="",G$2=""),"",G5/G$2*100)</f>
        <v/>
      </c>
    </row>
    <row r="6" customFormat="false" ht="15" hidden="false" customHeight="false" outlineLevel="0" collapsed="false">
      <c r="A6" s="59"/>
      <c r="B6" s="62"/>
      <c r="C6" s="62"/>
      <c r="D6" s="62"/>
      <c r="E6" s="62"/>
      <c r="F6" s="62"/>
      <c r="G6" s="62"/>
      <c r="I6" s="63" t="str">
        <f aca="false">IF(OR(B6="",B$2=""),"",B6/B$2*100)</f>
        <v/>
      </c>
      <c r="J6" s="63" t="str">
        <f aca="false">IF(OR(C6="",C$2=""),"",C6/C$2*100)</f>
        <v/>
      </c>
      <c r="K6" s="63" t="str">
        <f aca="false">IF(OR(D6="",D$2=""),"",D6/D$2*100)</f>
        <v/>
      </c>
      <c r="L6" s="63" t="str">
        <f aca="false">IF(OR(E6="",E$2=""),"",E6/E$2*100)</f>
        <v/>
      </c>
      <c r="M6" s="63" t="str">
        <f aca="false">IF(OR(F6="",F$2=""),"",F6/F$2*100)</f>
        <v/>
      </c>
      <c r="N6" s="63" t="str">
        <f aca="false">IF(OR(G6="",G$2=""),"",G6/G$2*100)</f>
        <v/>
      </c>
    </row>
    <row r="7" customFormat="false" ht="15" hidden="false" customHeight="false" outlineLevel="0" collapsed="false">
      <c r="A7" s="59"/>
      <c r="B7" s="62"/>
      <c r="C7" s="62"/>
      <c r="D7" s="62"/>
      <c r="E7" s="62"/>
      <c r="F7" s="62"/>
      <c r="G7" s="62"/>
      <c r="I7" s="63" t="str">
        <f aca="false">IF(OR(B7="",B$2=""),"",B7/B$2*100)</f>
        <v/>
      </c>
      <c r="J7" s="63" t="str">
        <f aca="false">IF(OR(C7="",C$2=""),"",C7/C$2*100)</f>
        <v/>
      </c>
      <c r="K7" s="63" t="str">
        <f aca="false">IF(OR(D7="",D$2=""),"",D7/D$2*100)</f>
        <v/>
      </c>
      <c r="L7" s="63" t="str">
        <f aca="false">IF(OR(E7="",E$2=""),"",E7/E$2*100)</f>
        <v/>
      </c>
      <c r="M7" s="63" t="str">
        <f aca="false">IF(OR(F7="",F$2=""),"",F7/F$2*100)</f>
        <v/>
      </c>
      <c r="N7" s="63" t="str">
        <f aca="false">IF(OR(G7="",G$2=""),"",G7/G$2*100)</f>
        <v/>
      </c>
    </row>
    <row r="8" customFormat="false" ht="15" hidden="false" customHeight="false" outlineLevel="0" collapsed="false">
      <c r="A8" s="59"/>
      <c r="B8" s="62"/>
      <c r="C8" s="62"/>
      <c r="D8" s="62"/>
      <c r="E8" s="62"/>
      <c r="F8" s="62"/>
      <c r="G8" s="62"/>
      <c r="I8" s="63" t="str">
        <f aca="false">IF(OR(B8="",B$2=""),"",B8/B$2*100)</f>
        <v/>
      </c>
      <c r="J8" s="63" t="str">
        <f aca="false">IF(OR(C8="",C$2=""),"",C8/C$2*100)</f>
        <v/>
      </c>
      <c r="K8" s="63" t="str">
        <f aca="false">IF(OR(D8="",D$2=""),"",D8/D$2*100)</f>
        <v/>
      </c>
      <c r="L8" s="63" t="str">
        <f aca="false">IF(OR(E8="",E$2=""),"",E8/E$2*100)</f>
        <v/>
      </c>
      <c r="M8" s="63" t="str">
        <f aca="false">IF(OR(F8="",F$2=""),"",F8/F$2*100)</f>
        <v/>
      </c>
      <c r="N8" s="63" t="str">
        <f aca="false">IF(OR(G8="",G$2=""),"",G8/G$2*100)</f>
        <v/>
      </c>
    </row>
    <row r="9" customFormat="false" ht="15" hidden="false" customHeight="false" outlineLevel="0" collapsed="false">
      <c r="A9" s="59"/>
      <c r="B9" s="62"/>
      <c r="C9" s="62"/>
      <c r="D9" s="62"/>
      <c r="E9" s="62"/>
      <c r="F9" s="62"/>
      <c r="G9" s="62"/>
      <c r="I9" s="63" t="str">
        <f aca="false">IF(OR(B9="",B$2=""),"",B9/B$2*100)</f>
        <v/>
      </c>
      <c r="J9" s="63" t="str">
        <f aca="false">IF(OR(C9="",C$2=""),"",C9/C$2*100)</f>
        <v/>
      </c>
      <c r="K9" s="63" t="str">
        <f aca="false">IF(OR(D9="",D$2=""),"",D9/D$2*100)</f>
        <v/>
      </c>
      <c r="L9" s="63" t="str">
        <f aca="false">IF(OR(E9="",E$2=""),"",E9/E$2*100)</f>
        <v/>
      </c>
      <c r="M9" s="63" t="str">
        <f aca="false">IF(OR(F9="",F$2=""),"",F9/F$2*100)</f>
        <v/>
      </c>
      <c r="N9" s="63" t="str">
        <f aca="false">IF(OR(G9="",G$2=""),"",G9/G$2*100)</f>
        <v/>
      </c>
    </row>
    <row r="10" customFormat="false" ht="15" hidden="false" customHeight="false" outlineLevel="0" collapsed="false">
      <c r="A10" s="59"/>
      <c r="B10" s="62"/>
      <c r="C10" s="62"/>
      <c r="D10" s="62"/>
      <c r="E10" s="62"/>
      <c r="F10" s="62"/>
      <c r="G10" s="62"/>
      <c r="I10" s="63" t="str">
        <f aca="false">IF(OR(B10="",B$2=""),"",B10/B$2*100)</f>
        <v/>
      </c>
      <c r="J10" s="63" t="str">
        <f aca="false">IF(OR(C10="",C$2=""),"",C10/C$2*100)</f>
        <v/>
      </c>
      <c r="K10" s="63" t="str">
        <f aca="false">IF(OR(D10="",D$2=""),"",D10/D$2*100)</f>
        <v/>
      </c>
      <c r="L10" s="63" t="str">
        <f aca="false">IF(OR(E10="",E$2=""),"",E10/E$2*100)</f>
        <v/>
      </c>
      <c r="M10" s="63" t="str">
        <f aca="false">IF(OR(F10="",F$2=""),"",F10/F$2*100)</f>
        <v/>
      </c>
      <c r="N10" s="63" t="str">
        <f aca="false">IF(OR(G10="",G$2=""),"",G10/G$2*100)</f>
        <v/>
      </c>
    </row>
    <row r="11" customFormat="false" ht="15" hidden="false" customHeight="false" outlineLevel="0" collapsed="false">
      <c r="A11" s="59"/>
      <c r="B11" s="62"/>
      <c r="C11" s="62"/>
      <c r="D11" s="62"/>
      <c r="E11" s="62"/>
      <c r="F11" s="62"/>
      <c r="G11" s="62"/>
      <c r="I11" s="63" t="str">
        <f aca="false">IF(OR(B11="",B$2=""),"",B11/B$2*100)</f>
        <v/>
      </c>
      <c r="J11" s="63" t="str">
        <f aca="false">IF(OR(C11="",C$2=""),"",C11/C$2*100)</f>
        <v/>
      </c>
      <c r="K11" s="63" t="str">
        <f aca="false">IF(OR(D11="",D$2=""),"",D11/D$2*100)</f>
        <v/>
      </c>
      <c r="L11" s="63" t="str">
        <f aca="false">IF(OR(E11="",E$2=""),"",E11/E$2*100)</f>
        <v/>
      </c>
      <c r="M11" s="63" t="str">
        <f aca="false">IF(OR(F11="",F$2=""),"",F11/F$2*100)</f>
        <v/>
      </c>
      <c r="N11" s="63" t="str">
        <f aca="false">IF(OR(G11="",G$2=""),"",G11/G$2*100)</f>
        <v/>
      </c>
    </row>
    <row r="12" customFormat="false" ht="15" hidden="false" customHeight="false" outlineLevel="0" collapsed="false">
      <c r="A12" s="59"/>
      <c r="B12" s="62"/>
      <c r="C12" s="62"/>
      <c r="D12" s="62"/>
      <c r="E12" s="62"/>
      <c r="F12" s="62"/>
      <c r="G12" s="62"/>
      <c r="I12" s="63" t="str">
        <f aca="false">IF(OR(B12="",B$2=""),"",B12/B$2*100)</f>
        <v/>
      </c>
      <c r="J12" s="63" t="str">
        <f aca="false">IF(OR(C12="",C$2=""),"",C12/C$2*100)</f>
        <v/>
      </c>
      <c r="K12" s="63" t="str">
        <f aca="false">IF(OR(D12="",D$2=""),"",D12/D$2*100)</f>
        <v/>
      </c>
      <c r="L12" s="63" t="str">
        <f aca="false">IF(OR(E12="",E$2=""),"",E12/E$2*100)</f>
        <v/>
      </c>
      <c r="M12" s="63" t="str">
        <f aca="false">IF(OR(F12="",F$2=""),"",F12/F$2*100)</f>
        <v/>
      </c>
      <c r="N12" s="63" t="str">
        <f aca="false">IF(OR(G12="",G$2=""),"",G12/G$2*100)</f>
        <v/>
      </c>
    </row>
    <row r="13" customFormat="false" ht="15" hidden="false" customHeight="false" outlineLevel="0" collapsed="false">
      <c r="A13" s="59"/>
      <c r="B13" s="62"/>
      <c r="C13" s="62"/>
      <c r="D13" s="62"/>
      <c r="E13" s="62"/>
      <c r="F13" s="62"/>
      <c r="G13" s="62"/>
      <c r="I13" s="63" t="str">
        <f aca="false">IF(OR(B13="",B$2=""),"",B13/B$2*100)</f>
        <v/>
      </c>
      <c r="J13" s="63" t="str">
        <f aca="false">IF(OR(C13="",C$2=""),"",C13/C$2*100)</f>
        <v/>
      </c>
      <c r="K13" s="63" t="str">
        <f aca="false">IF(OR(D13="",D$2=""),"",D13/D$2*100)</f>
        <v/>
      </c>
      <c r="L13" s="63" t="str">
        <f aca="false">IF(OR(E13="",E$2=""),"",E13/E$2*100)</f>
        <v/>
      </c>
      <c r="M13" s="63" t="str">
        <f aca="false">IF(OR(F13="",F$2=""),"",F13/F$2*100)</f>
        <v/>
      </c>
      <c r="N13" s="63" t="str">
        <f aca="false">IF(OR(G13="",G$2=""),"",G13/G$2*100)</f>
        <v/>
      </c>
    </row>
    <row r="14" customFormat="false" ht="15" hidden="false" customHeight="false" outlineLevel="0" collapsed="false">
      <c r="A14" s="59"/>
      <c r="B14" s="62"/>
      <c r="C14" s="62"/>
      <c r="D14" s="62"/>
      <c r="E14" s="62"/>
      <c r="F14" s="62"/>
      <c r="G14" s="62"/>
      <c r="I14" s="63" t="str">
        <f aca="false">IF(OR(B14="",B$2=""),"",B14/B$2*100)</f>
        <v/>
      </c>
      <c r="J14" s="63" t="str">
        <f aca="false">IF(OR(C14="",C$2=""),"",C14/C$2*100)</f>
        <v/>
      </c>
      <c r="K14" s="63" t="str">
        <f aca="false">IF(OR(D14="",D$2=""),"",D14/D$2*100)</f>
        <v/>
      </c>
      <c r="L14" s="63" t="str">
        <f aca="false">IF(OR(E14="",E$2=""),"",E14/E$2*100)</f>
        <v/>
      </c>
      <c r="M14" s="63" t="str">
        <f aca="false">IF(OR(F14="",F$2=""),"",F14/F$2*100)</f>
        <v/>
      </c>
      <c r="N14" s="63" t="str">
        <f aca="false">IF(OR(G14="",G$2=""),"",G14/G$2*100)</f>
        <v/>
      </c>
    </row>
    <row r="15" customFormat="false" ht="15" hidden="false" customHeight="false" outlineLevel="0" collapsed="false">
      <c r="A15" s="59"/>
      <c r="B15" s="62"/>
      <c r="C15" s="62"/>
      <c r="D15" s="62"/>
      <c r="E15" s="62"/>
      <c r="F15" s="62"/>
      <c r="G15" s="62"/>
      <c r="I15" s="63" t="str">
        <f aca="false">IF(OR(B15="",B$2=""),"",B15/B$2*100)</f>
        <v/>
      </c>
      <c r="J15" s="63" t="str">
        <f aca="false">IF(OR(C15="",C$2=""),"",C15/C$2*100)</f>
        <v/>
      </c>
      <c r="K15" s="63" t="str">
        <f aca="false">IF(OR(D15="",D$2=""),"",D15/D$2*100)</f>
        <v/>
      </c>
      <c r="L15" s="63" t="str">
        <f aca="false">IF(OR(E15="",E$2=""),"",E15/E$2*100)</f>
        <v/>
      </c>
      <c r="M15" s="63" t="str">
        <f aca="false">IF(OR(F15="",F$2=""),"",F15/F$2*100)</f>
        <v/>
      </c>
      <c r="N15" s="63" t="str">
        <f aca="false">IF(OR(G15="",G$2=""),"",G15/G$2*100)</f>
        <v/>
      </c>
    </row>
    <row r="16" customFormat="false" ht="15" hidden="false" customHeight="false" outlineLevel="0" collapsed="false">
      <c r="A16" s="59"/>
      <c r="B16" s="62"/>
      <c r="C16" s="62"/>
      <c r="D16" s="62"/>
      <c r="E16" s="62"/>
      <c r="F16" s="62"/>
      <c r="G16" s="62"/>
      <c r="I16" s="63" t="str">
        <f aca="false">IF(OR(B16="",B$2=""),"",B16/B$2*100)</f>
        <v/>
      </c>
      <c r="J16" s="63" t="str">
        <f aca="false">IF(OR(C16="",C$2=""),"",C16/C$2*100)</f>
        <v/>
      </c>
      <c r="K16" s="63" t="str">
        <f aca="false">IF(OR(D16="",D$2=""),"",D16/D$2*100)</f>
        <v/>
      </c>
      <c r="L16" s="63" t="str">
        <f aca="false">IF(OR(E16="",E$2=""),"",E16/E$2*100)</f>
        <v/>
      </c>
      <c r="M16" s="63" t="str">
        <f aca="false">IF(OR(F16="",F$2=""),"",F16/F$2*100)</f>
        <v/>
      </c>
      <c r="N16" s="63" t="str">
        <f aca="false">IF(OR(G16="",G$2=""),"",G16/G$2*100)</f>
        <v/>
      </c>
    </row>
    <row r="17" customFormat="false" ht="15" hidden="false" customHeight="false" outlineLevel="0" collapsed="false">
      <c r="A17" s="59"/>
      <c r="B17" s="62"/>
      <c r="C17" s="62"/>
      <c r="D17" s="62"/>
      <c r="E17" s="62"/>
      <c r="F17" s="62"/>
      <c r="G17" s="62"/>
      <c r="I17" s="63" t="str">
        <f aca="false">IF(OR(B17="",B$2=""),"",B17/B$2*100)</f>
        <v/>
      </c>
      <c r="J17" s="63" t="str">
        <f aca="false">IF(OR(C17="",C$2=""),"",C17/C$2*100)</f>
        <v/>
      </c>
      <c r="K17" s="63" t="str">
        <f aca="false">IF(OR(D17="",D$2=""),"",D17/D$2*100)</f>
        <v/>
      </c>
      <c r="L17" s="63" t="str">
        <f aca="false">IF(OR(E17="",E$2=""),"",E17/E$2*100)</f>
        <v/>
      </c>
      <c r="M17" s="63" t="str">
        <f aca="false">IF(OR(F17="",F$2=""),"",F17/F$2*100)</f>
        <v/>
      </c>
      <c r="N17" s="63" t="str">
        <f aca="false">IF(OR(G17="",G$2=""),"",G17/G$2*100)</f>
        <v/>
      </c>
    </row>
    <row r="18" customFormat="false" ht="15" hidden="false" customHeight="false" outlineLevel="0" collapsed="false">
      <c r="A18" s="59"/>
      <c r="B18" s="62"/>
      <c r="C18" s="62"/>
      <c r="D18" s="62"/>
      <c r="E18" s="62"/>
      <c r="F18" s="62"/>
      <c r="G18" s="62"/>
      <c r="I18" s="63" t="str">
        <f aca="false">IF(OR(B18="",B$2=""),"",B18/B$2*100)</f>
        <v/>
      </c>
      <c r="J18" s="63" t="str">
        <f aca="false">IF(OR(C18="",C$2=""),"",C18/C$2*100)</f>
        <v/>
      </c>
      <c r="K18" s="63" t="str">
        <f aca="false">IF(OR(D18="",D$2=""),"",D18/D$2*100)</f>
        <v/>
      </c>
      <c r="L18" s="63" t="str">
        <f aca="false">IF(OR(E18="",E$2=""),"",E18/E$2*100)</f>
        <v/>
      </c>
      <c r="M18" s="63" t="str">
        <f aca="false">IF(OR(F18="",F$2=""),"",F18/F$2*100)</f>
        <v/>
      </c>
      <c r="N18" s="63" t="str">
        <f aca="false">IF(OR(G18="",G$2=""),"",G18/G$2*100)</f>
        <v/>
      </c>
    </row>
    <row r="19" customFormat="false" ht="15" hidden="false" customHeight="false" outlineLevel="0" collapsed="false">
      <c r="A19" s="59"/>
      <c r="B19" s="62"/>
      <c r="C19" s="62"/>
      <c r="D19" s="62"/>
      <c r="E19" s="62"/>
      <c r="F19" s="62"/>
      <c r="G19" s="62"/>
      <c r="I19" s="63" t="str">
        <f aca="false">IF(OR(B19="",B$2=""),"",B19/B$2*100)</f>
        <v/>
      </c>
      <c r="J19" s="63" t="str">
        <f aca="false">IF(OR(C19="",C$2=""),"",C19/C$2*100)</f>
        <v/>
      </c>
      <c r="K19" s="63" t="str">
        <f aca="false">IF(OR(D19="",D$2=""),"",D19/D$2*100)</f>
        <v/>
      </c>
      <c r="L19" s="63" t="str">
        <f aca="false">IF(OR(E19="",E$2=""),"",E19/E$2*100)</f>
        <v/>
      </c>
      <c r="M19" s="63" t="str">
        <f aca="false">IF(OR(F19="",F$2=""),"",F19/F$2*100)</f>
        <v/>
      </c>
      <c r="N19" s="63" t="str">
        <f aca="false">IF(OR(G19="",G$2=""),"",G19/G$2*100)</f>
        <v/>
      </c>
    </row>
    <row r="20" customFormat="false" ht="15" hidden="false" customHeight="false" outlineLevel="0" collapsed="false">
      <c r="A20" s="59"/>
      <c r="B20" s="62"/>
      <c r="C20" s="62"/>
      <c r="D20" s="62"/>
      <c r="E20" s="62"/>
      <c r="F20" s="62"/>
      <c r="G20" s="62"/>
      <c r="I20" s="63" t="str">
        <f aca="false">IF(OR(B20="",B$2=""),"",B20/B$2*100)</f>
        <v/>
      </c>
      <c r="J20" s="63" t="str">
        <f aca="false">IF(OR(C20="",C$2=""),"",C20/C$2*100)</f>
        <v/>
      </c>
      <c r="K20" s="63" t="str">
        <f aca="false">IF(OR(D20="",D$2=""),"",D20/D$2*100)</f>
        <v/>
      </c>
      <c r="L20" s="63" t="str">
        <f aca="false">IF(OR(E20="",E$2=""),"",E20/E$2*100)</f>
        <v/>
      </c>
      <c r="M20" s="63" t="str">
        <f aca="false">IF(OR(F20="",F$2=""),"",F20/F$2*100)</f>
        <v/>
      </c>
      <c r="N20" s="63" t="str">
        <f aca="false">IF(OR(G20="",G$2=""),"",G20/G$2*100)</f>
        <v/>
      </c>
    </row>
    <row r="21" customFormat="false" ht="15" hidden="false" customHeight="false" outlineLevel="0" collapsed="false">
      <c r="A21" s="59"/>
      <c r="B21" s="62"/>
      <c r="C21" s="62"/>
      <c r="D21" s="62"/>
      <c r="E21" s="62"/>
      <c r="F21" s="62"/>
      <c r="G21" s="62"/>
      <c r="I21" s="63" t="str">
        <f aca="false">IF(OR(B21="",B$2=""),"",B21/B$2*100)</f>
        <v/>
      </c>
      <c r="J21" s="63" t="str">
        <f aca="false">IF(OR(C21="",C$2=""),"",C21/C$2*100)</f>
        <v/>
      </c>
      <c r="K21" s="63" t="str">
        <f aca="false">IF(OR(D21="",D$2=""),"",D21/D$2*100)</f>
        <v/>
      </c>
      <c r="L21" s="63" t="str">
        <f aca="false">IF(OR(E21="",E$2=""),"",E21/E$2*100)</f>
        <v/>
      </c>
      <c r="M21" s="63" t="str">
        <f aca="false">IF(OR(F21="",F$2=""),"",F21/F$2*100)</f>
        <v/>
      </c>
      <c r="N21" s="63" t="str">
        <f aca="false">IF(OR(G21="",G$2=""),"",G21/G$2*100)</f>
        <v/>
      </c>
    </row>
    <row r="22" customFormat="false" ht="15" hidden="false" customHeight="false" outlineLevel="0" collapsed="false">
      <c r="A22" s="59"/>
      <c r="B22" s="62"/>
      <c r="C22" s="62"/>
      <c r="D22" s="62"/>
      <c r="E22" s="62"/>
      <c r="F22" s="62"/>
      <c r="G22" s="62"/>
      <c r="I22" s="63" t="str">
        <f aca="false">IF(OR(B22="",B$2=""),"",B22/B$2*100)</f>
        <v/>
      </c>
      <c r="J22" s="63" t="str">
        <f aca="false">IF(OR(C22="",C$2=""),"",C22/C$2*100)</f>
        <v/>
      </c>
      <c r="K22" s="63" t="str">
        <f aca="false">IF(OR(D22="",D$2=""),"",D22/D$2*100)</f>
        <v/>
      </c>
      <c r="L22" s="63" t="str">
        <f aca="false">IF(OR(E22="",E$2=""),"",E22/E$2*100)</f>
        <v/>
      </c>
      <c r="M22" s="63" t="str">
        <f aca="false">IF(OR(F22="",F$2=""),"",F22/F$2*100)</f>
        <v/>
      </c>
      <c r="N22" s="63" t="str">
        <f aca="false">IF(OR(G22="",G$2=""),"",G22/G$2*100)</f>
        <v/>
      </c>
    </row>
    <row r="23" customFormat="false" ht="15" hidden="false" customHeight="false" outlineLevel="0" collapsed="false">
      <c r="A23" s="59"/>
      <c r="B23" s="62"/>
      <c r="C23" s="62"/>
      <c r="D23" s="62"/>
      <c r="E23" s="62"/>
      <c r="F23" s="62"/>
      <c r="G23" s="62"/>
      <c r="I23" s="63" t="str">
        <f aca="false">IF(OR(B23="",B$2=""),"",B23/B$2*100)</f>
        <v/>
      </c>
      <c r="J23" s="63" t="str">
        <f aca="false">IF(OR(C23="",C$2=""),"",C23/C$2*100)</f>
        <v/>
      </c>
      <c r="K23" s="63" t="str">
        <f aca="false">IF(OR(D23="",D$2=""),"",D23/D$2*100)</f>
        <v/>
      </c>
      <c r="L23" s="63" t="str">
        <f aca="false">IF(OR(E23="",E$2=""),"",E23/E$2*100)</f>
        <v/>
      </c>
      <c r="M23" s="63" t="str">
        <f aca="false">IF(OR(F23="",F$2=""),"",F23/F$2*100)</f>
        <v/>
      </c>
      <c r="N23" s="63" t="str">
        <f aca="false">IF(OR(G23="",G$2=""),"",G23/G$2*100)</f>
        <v/>
      </c>
    </row>
    <row r="24" customFormat="false" ht="15" hidden="false" customHeight="false" outlineLevel="0" collapsed="false">
      <c r="A24" s="59"/>
      <c r="B24" s="62"/>
      <c r="C24" s="62"/>
      <c r="D24" s="62"/>
      <c r="E24" s="62"/>
      <c r="F24" s="62"/>
      <c r="G24" s="62"/>
      <c r="I24" s="63" t="str">
        <f aca="false">IF(OR(B24="",B$2=""),"",B24/B$2*100)</f>
        <v/>
      </c>
      <c r="J24" s="63" t="str">
        <f aca="false">IF(OR(C24="",C$2=""),"",C24/C$2*100)</f>
        <v/>
      </c>
      <c r="K24" s="63" t="str">
        <f aca="false">IF(OR(D24="",D$2=""),"",D24/D$2*100)</f>
        <v/>
      </c>
      <c r="L24" s="63" t="str">
        <f aca="false">IF(OR(E24="",E$2=""),"",E24/E$2*100)</f>
        <v/>
      </c>
      <c r="M24" s="63" t="str">
        <f aca="false">IF(OR(F24="",F$2=""),"",F24/F$2*100)</f>
        <v/>
      </c>
      <c r="N24" s="63" t="str">
        <f aca="false">IF(OR(G24="",G$2=""),"",G24/G$2*100)</f>
        <v/>
      </c>
    </row>
    <row r="25" customFormat="false" ht="15" hidden="false" customHeight="false" outlineLevel="0" collapsed="false">
      <c r="A25" s="59"/>
      <c r="B25" s="62"/>
      <c r="C25" s="62"/>
      <c r="D25" s="62"/>
      <c r="E25" s="62"/>
      <c r="F25" s="62"/>
      <c r="G25" s="62"/>
      <c r="I25" s="63" t="str">
        <f aca="false">IF(OR(B25="",B$2=""),"",B25/B$2*100)</f>
        <v/>
      </c>
      <c r="J25" s="63" t="str">
        <f aca="false">IF(OR(C25="",C$2=""),"",C25/C$2*100)</f>
        <v/>
      </c>
      <c r="K25" s="63" t="str">
        <f aca="false">IF(OR(D25="",D$2=""),"",D25/D$2*100)</f>
        <v/>
      </c>
      <c r="L25" s="63" t="str">
        <f aca="false">IF(OR(E25="",E$2=""),"",E25/E$2*100)</f>
        <v/>
      </c>
      <c r="M25" s="63" t="str">
        <f aca="false">IF(OR(F25="",F$2=""),"",F25/F$2*100)</f>
        <v/>
      </c>
      <c r="N25" s="63" t="str">
        <f aca="false">IF(OR(G25="",G$2=""),"",G25/G$2*100)</f>
        <v/>
      </c>
    </row>
    <row r="26" customFormat="false" ht="15" hidden="false" customHeight="false" outlineLevel="0" collapsed="false">
      <c r="A26" s="59"/>
      <c r="B26" s="62"/>
      <c r="C26" s="62"/>
      <c r="D26" s="62"/>
      <c r="E26" s="62"/>
      <c r="F26" s="62"/>
      <c r="G26" s="62"/>
      <c r="I26" s="63" t="str">
        <f aca="false">IF(OR(B26="",B$2=""),"",B26/B$2*100)</f>
        <v/>
      </c>
      <c r="J26" s="63" t="str">
        <f aca="false">IF(OR(C26="",C$2=""),"",C26/C$2*100)</f>
        <v/>
      </c>
      <c r="K26" s="63" t="str">
        <f aca="false">IF(OR(D26="",D$2=""),"",D26/D$2*100)</f>
        <v/>
      </c>
      <c r="L26" s="63" t="str">
        <f aca="false">IF(OR(E26="",E$2=""),"",E26/E$2*100)</f>
        <v/>
      </c>
      <c r="M26" s="63" t="str">
        <f aca="false">IF(OR(F26="",F$2=""),"",F26/F$2*100)</f>
        <v/>
      </c>
      <c r="N26" s="63" t="str">
        <f aca="false">IF(OR(G26="",G$2=""),"",G26/G$2*100)</f>
        <v/>
      </c>
    </row>
    <row r="27" customFormat="false" ht="15" hidden="false" customHeight="false" outlineLevel="0" collapsed="false">
      <c r="A27" s="59"/>
      <c r="B27" s="62"/>
      <c r="C27" s="62"/>
      <c r="D27" s="62"/>
      <c r="E27" s="62"/>
      <c r="F27" s="62"/>
      <c r="G27" s="62"/>
      <c r="I27" s="63" t="str">
        <f aca="false">IF(OR(B27="",B$2=""),"",B27/B$2*100)</f>
        <v/>
      </c>
      <c r="J27" s="63" t="str">
        <f aca="false">IF(OR(C27="",C$2=""),"",C27/C$2*100)</f>
        <v/>
      </c>
      <c r="K27" s="63" t="str">
        <f aca="false">IF(OR(D27="",D$2=""),"",D27/D$2*100)</f>
        <v/>
      </c>
      <c r="L27" s="63" t="str">
        <f aca="false">IF(OR(E27="",E$2=""),"",E27/E$2*100)</f>
        <v/>
      </c>
      <c r="M27" s="63" t="str">
        <f aca="false">IF(OR(F27="",F$2=""),"",F27/F$2*100)</f>
        <v/>
      </c>
      <c r="N27" s="63" t="str">
        <f aca="false">IF(OR(G27="",G$2=""),"",G27/G$2*100)</f>
        <v/>
      </c>
    </row>
    <row r="28" customFormat="false" ht="15" hidden="false" customHeight="false" outlineLevel="0" collapsed="false">
      <c r="A28" s="59"/>
      <c r="B28" s="62"/>
      <c r="C28" s="62"/>
      <c r="D28" s="62"/>
      <c r="E28" s="62"/>
      <c r="F28" s="62"/>
      <c r="G28" s="62"/>
      <c r="I28" s="63" t="str">
        <f aca="false">IF(OR(B28="",B$2=""),"",B28/B$2*100)</f>
        <v/>
      </c>
      <c r="J28" s="63" t="str">
        <f aca="false">IF(OR(C28="",C$2=""),"",C28/C$2*100)</f>
        <v/>
      </c>
      <c r="K28" s="63" t="str">
        <f aca="false">IF(OR(D28="",D$2=""),"",D28/D$2*100)</f>
        <v/>
      </c>
      <c r="L28" s="63" t="str">
        <f aca="false">IF(OR(E28="",E$2=""),"",E28/E$2*100)</f>
        <v/>
      </c>
      <c r="M28" s="63" t="str">
        <f aca="false">IF(OR(F28="",F$2=""),"",F28/F$2*100)</f>
        <v/>
      </c>
      <c r="N28" s="63" t="str">
        <f aca="false">IF(OR(G28="",G$2=""),"",G28/G$2*100)</f>
        <v/>
      </c>
    </row>
    <row r="29" customFormat="false" ht="15" hidden="false" customHeight="false" outlineLevel="0" collapsed="false">
      <c r="A29" s="59"/>
      <c r="B29" s="62"/>
      <c r="C29" s="62"/>
      <c r="D29" s="62"/>
      <c r="E29" s="62"/>
      <c r="F29" s="62"/>
      <c r="G29" s="62"/>
      <c r="I29" s="63" t="str">
        <f aca="false">IF(OR(B29="",B$2=""),"",B29/B$2*100)</f>
        <v/>
      </c>
      <c r="J29" s="63" t="str">
        <f aca="false">IF(OR(C29="",C$2=""),"",C29/C$2*100)</f>
        <v/>
      </c>
      <c r="K29" s="63" t="str">
        <f aca="false">IF(OR(D29="",D$2=""),"",D29/D$2*100)</f>
        <v/>
      </c>
      <c r="L29" s="63" t="str">
        <f aca="false">IF(OR(E29="",E$2=""),"",E29/E$2*100)</f>
        <v/>
      </c>
      <c r="M29" s="63" t="str">
        <f aca="false">IF(OR(F29="",F$2=""),"",F29/F$2*100)</f>
        <v/>
      </c>
      <c r="N29" s="63" t="str">
        <f aca="false">IF(OR(G29="",G$2=""),"",G29/G$2*100)</f>
        <v/>
      </c>
    </row>
    <row r="30" customFormat="false" ht="15" hidden="false" customHeight="false" outlineLevel="0" collapsed="false">
      <c r="A30" s="59"/>
      <c r="B30" s="62"/>
      <c r="C30" s="62"/>
      <c r="D30" s="62"/>
      <c r="E30" s="62"/>
      <c r="F30" s="62"/>
      <c r="G30" s="62"/>
      <c r="I30" s="63" t="str">
        <f aca="false">IF(OR(B30="",B$2=""),"",B30/B$2*100)</f>
        <v/>
      </c>
      <c r="J30" s="63" t="str">
        <f aca="false">IF(OR(C30="",C$2=""),"",C30/C$2*100)</f>
        <v/>
      </c>
      <c r="K30" s="63" t="str">
        <f aca="false">IF(OR(D30="",D$2=""),"",D30/D$2*100)</f>
        <v/>
      </c>
      <c r="L30" s="63" t="str">
        <f aca="false">IF(OR(E30="",E$2=""),"",E30/E$2*100)</f>
        <v/>
      </c>
      <c r="M30" s="63" t="str">
        <f aca="false">IF(OR(F30="",F$2=""),"",F30/F$2*100)</f>
        <v/>
      </c>
      <c r="N30" s="63" t="str">
        <f aca="false">IF(OR(G30="",G$2=""),"",G30/G$2*100)</f>
        <v/>
      </c>
    </row>
    <row r="31" customFormat="false" ht="15" hidden="false" customHeight="false" outlineLevel="0" collapsed="false">
      <c r="A31" s="59"/>
      <c r="B31" s="62"/>
      <c r="C31" s="62"/>
      <c r="D31" s="62"/>
      <c r="E31" s="62"/>
      <c r="F31" s="62"/>
      <c r="G31" s="62"/>
      <c r="I31" s="63" t="str">
        <f aca="false">IF(OR(B31="",B$2=""),"",B31/B$2*100)</f>
        <v/>
      </c>
      <c r="J31" s="63" t="str">
        <f aca="false">IF(OR(C31="",C$2=""),"",C31/C$2*100)</f>
        <v/>
      </c>
      <c r="K31" s="63" t="str">
        <f aca="false">IF(OR(D31="",D$2=""),"",D31/D$2*100)</f>
        <v/>
      </c>
      <c r="L31" s="63" t="str">
        <f aca="false">IF(OR(E31="",E$2=""),"",E31/E$2*100)</f>
        <v/>
      </c>
      <c r="M31" s="63" t="str">
        <f aca="false">IF(OR(F31="",F$2=""),"",F31/F$2*100)</f>
        <v/>
      </c>
      <c r="N31" s="63" t="str">
        <f aca="false">IF(OR(G31="",G$2=""),"",G31/G$2*100)</f>
        <v/>
      </c>
    </row>
    <row r="32" customFormat="false" ht="15" hidden="false" customHeight="false" outlineLevel="0" collapsed="false">
      <c r="A32" s="59"/>
      <c r="B32" s="62"/>
      <c r="C32" s="62"/>
      <c r="D32" s="62"/>
      <c r="E32" s="62"/>
      <c r="F32" s="62"/>
      <c r="G32" s="62"/>
      <c r="I32" s="63" t="str">
        <f aca="false">IF(OR(B32="",B$2=""),"",B32/B$2*100)</f>
        <v/>
      </c>
      <c r="J32" s="63" t="str">
        <f aca="false">IF(OR(C32="",C$2=""),"",C32/C$2*100)</f>
        <v/>
      </c>
      <c r="K32" s="63" t="str">
        <f aca="false">IF(OR(D32="",D$2=""),"",D32/D$2*100)</f>
        <v/>
      </c>
      <c r="L32" s="63" t="str">
        <f aca="false">IF(OR(E32="",E$2=""),"",E32/E$2*100)</f>
        <v/>
      </c>
      <c r="M32" s="63" t="str">
        <f aca="false">IF(OR(F32="",F$2=""),"",F32/F$2*100)</f>
        <v/>
      </c>
      <c r="N32" s="63" t="str">
        <f aca="false">IF(OR(G32="",G$2=""),"",G32/G$2*100)</f>
        <v/>
      </c>
    </row>
    <row r="33" customFormat="false" ht="15" hidden="false" customHeight="false" outlineLevel="0" collapsed="false">
      <c r="A33" s="59"/>
      <c r="B33" s="62"/>
      <c r="C33" s="62"/>
      <c r="D33" s="62"/>
      <c r="E33" s="62"/>
      <c r="F33" s="62"/>
      <c r="G33" s="62"/>
      <c r="I33" s="63" t="str">
        <f aca="false">IF(OR(B33="",B$2=""),"",B33/B$2*100)</f>
        <v/>
      </c>
      <c r="J33" s="63" t="str">
        <f aca="false">IF(OR(C33="",C$2=""),"",C33/C$2*100)</f>
        <v/>
      </c>
      <c r="K33" s="63" t="str">
        <f aca="false">IF(OR(D33="",D$2=""),"",D33/D$2*100)</f>
        <v/>
      </c>
      <c r="L33" s="63" t="str">
        <f aca="false">IF(OR(E33="",E$2=""),"",E33/E$2*100)</f>
        <v/>
      </c>
      <c r="M33" s="63" t="str">
        <f aca="false">IF(OR(F33="",F$2=""),"",F33/F$2*100)</f>
        <v/>
      </c>
      <c r="N33" s="63" t="str">
        <f aca="false">IF(OR(G33="",G$2=""),"",G33/G$2*100)</f>
        <v/>
      </c>
    </row>
    <row r="34" customFormat="false" ht="15" hidden="false" customHeight="false" outlineLevel="0" collapsed="false">
      <c r="A34" s="59"/>
      <c r="B34" s="62"/>
      <c r="C34" s="62"/>
      <c r="D34" s="62"/>
      <c r="E34" s="62"/>
      <c r="F34" s="62"/>
      <c r="G34" s="62"/>
      <c r="I34" s="63" t="str">
        <f aca="false">IF(OR(B34="",B$2=""),"",B34/B$2*100)</f>
        <v/>
      </c>
      <c r="J34" s="63" t="str">
        <f aca="false">IF(OR(C34="",C$2=""),"",C34/C$2*100)</f>
        <v/>
      </c>
      <c r="K34" s="63" t="str">
        <f aca="false">IF(OR(D34="",D$2=""),"",D34/D$2*100)</f>
        <v/>
      </c>
      <c r="L34" s="63" t="str">
        <f aca="false">IF(OR(E34="",E$2=""),"",E34/E$2*100)</f>
        <v/>
      </c>
      <c r="M34" s="63" t="str">
        <f aca="false">IF(OR(F34="",F$2=""),"",F34/F$2*100)</f>
        <v/>
      </c>
      <c r="N34" s="63" t="str">
        <f aca="false">IF(OR(G34="",G$2=""),"",G34/G$2*100)</f>
        <v/>
      </c>
    </row>
    <row r="35" customFormat="false" ht="15" hidden="false" customHeight="false" outlineLevel="0" collapsed="false">
      <c r="A35" s="59"/>
      <c r="B35" s="62"/>
      <c r="C35" s="62"/>
      <c r="D35" s="62"/>
      <c r="E35" s="62"/>
      <c r="F35" s="62"/>
      <c r="G35" s="62"/>
      <c r="I35" s="63" t="str">
        <f aca="false">IF(OR(B35="",B$2=""),"",B35/B$2*100)</f>
        <v/>
      </c>
      <c r="J35" s="63" t="str">
        <f aca="false">IF(OR(C35="",C$2=""),"",C35/C$2*100)</f>
        <v/>
      </c>
      <c r="K35" s="63" t="str">
        <f aca="false">IF(OR(D35="",D$2=""),"",D35/D$2*100)</f>
        <v/>
      </c>
      <c r="L35" s="63" t="str">
        <f aca="false">IF(OR(E35="",E$2=""),"",E35/E$2*100)</f>
        <v/>
      </c>
      <c r="M35" s="63" t="str">
        <f aca="false">IF(OR(F35="",F$2=""),"",F35/F$2*100)</f>
        <v/>
      </c>
      <c r="N35" s="63" t="str">
        <f aca="false">IF(OR(G35="",G$2=""),"",G35/G$2*100)</f>
        <v/>
      </c>
    </row>
    <row r="36" customFormat="false" ht="15" hidden="false" customHeight="false" outlineLevel="0" collapsed="false">
      <c r="A36" s="59"/>
      <c r="B36" s="62"/>
      <c r="C36" s="62"/>
      <c r="D36" s="62"/>
      <c r="E36" s="62"/>
      <c r="F36" s="62"/>
      <c r="G36" s="62"/>
      <c r="I36" s="63" t="str">
        <f aca="false">IF(OR(B36="",B$2=""),"",B36/B$2*100)</f>
        <v/>
      </c>
      <c r="J36" s="63" t="str">
        <f aca="false">IF(OR(C36="",C$2=""),"",C36/C$2*100)</f>
        <v/>
      </c>
      <c r="K36" s="63" t="str">
        <f aca="false">IF(OR(D36="",D$2=""),"",D36/D$2*100)</f>
        <v/>
      </c>
      <c r="L36" s="63" t="str">
        <f aca="false">IF(OR(E36="",E$2=""),"",E36/E$2*100)</f>
        <v/>
      </c>
      <c r="M36" s="63" t="str">
        <f aca="false">IF(OR(F36="",F$2=""),"",F36/F$2*100)</f>
        <v/>
      </c>
      <c r="N36" s="63" t="str">
        <f aca="false">IF(OR(G36="",G$2=""),"",G36/G$2*100)</f>
        <v/>
      </c>
    </row>
    <row r="37" customFormat="false" ht="15" hidden="false" customHeight="false" outlineLevel="0" collapsed="false">
      <c r="A37" s="59"/>
      <c r="B37" s="62"/>
      <c r="C37" s="62"/>
      <c r="D37" s="62"/>
      <c r="E37" s="62"/>
      <c r="F37" s="62"/>
      <c r="G37" s="62"/>
      <c r="I37" s="63" t="str">
        <f aca="false">IF(OR(B37="",B$2=""),"",B37/B$2*100)</f>
        <v/>
      </c>
      <c r="J37" s="63" t="str">
        <f aca="false">IF(OR(C37="",C$2=""),"",C37/C$2*100)</f>
        <v/>
      </c>
      <c r="K37" s="63" t="str">
        <f aca="false">IF(OR(D37="",D$2=""),"",D37/D$2*100)</f>
        <v/>
      </c>
      <c r="L37" s="63" t="str">
        <f aca="false">IF(OR(E37="",E$2=""),"",E37/E$2*100)</f>
        <v/>
      </c>
      <c r="M37" s="63" t="str">
        <f aca="false">IF(OR(F37="",F$2=""),"",F37/F$2*100)</f>
        <v/>
      </c>
      <c r="N37" s="63" t="str">
        <f aca="false">IF(OR(G37="",G$2=""),"",G37/G$2*100)</f>
        <v/>
      </c>
    </row>
    <row r="38" customFormat="false" ht="15" hidden="false" customHeight="false" outlineLevel="0" collapsed="false">
      <c r="A38" s="59"/>
      <c r="B38" s="62"/>
      <c r="C38" s="62"/>
      <c r="D38" s="62"/>
      <c r="E38" s="62"/>
      <c r="F38" s="62"/>
      <c r="G38" s="62"/>
      <c r="I38" s="63" t="str">
        <f aca="false">IF(OR(B38="",B$2=""),"",B38/B$2*100)</f>
        <v/>
      </c>
      <c r="J38" s="63" t="str">
        <f aca="false">IF(OR(C38="",C$2=""),"",C38/C$2*100)</f>
        <v/>
      </c>
      <c r="K38" s="63" t="str">
        <f aca="false">IF(OR(D38="",D$2=""),"",D38/D$2*100)</f>
        <v/>
      </c>
      <c r="L38" s="63" t="str">
        <f aca="false">IF(OR(E38="",E$2=""),"",E38/E$2*100)</f>
        <v/>
      </c>
      <c r="M38" s="63" t="str">
        <f aca="false">IF(OR(F38="",F$2=""),"",F38/F$2*100)</f>
        <v/>
      </c>
      <c r="N38" s="63" t="str">
        <f aca="false">IF(OR(G38="",G$2=""),"",G38/G$2*100)</f>
        <v/>
      </c>
    </row>
    <row r="39" customFormat="false" ht="15" hidden="false" customHeight="false" outlineLevel="0" collapsed="false">
      <c r="A39" s="59"/>
      <c r="B39" s="62"/>
      <c r="C39" s="62"/>
      <c r="D39" s="62"/>
      <c r="E39" s="62"/>
      <c r="F39" s="62"/>
      <c r="G39" s="62"/>
      <c r="I39" s="63" t="str">
        <f aca="false">IF(OR(B39="",B$2=""),"",B39/B$2*100)</f>
        <v/>
      </c>
      <c r="J39" s="63" t="str">
        <f aca="false">IF(OR(C39="",C$2=""),"",C39/C$2*100)</f>
        <v/>
      </c>
      <c r="K39" s="63" t="str">
        <f aca="false">IF(OR(D39="",D$2=""),"",D39/D$2*100)</f>
        <v/>
      </c>
      <c r="L39" s="63" t="str">
        <f aca="false">IF(OR(E39="",E$2=""),"",E39/E$2*100)</f>
        <v/>
      </c>
      <c r="M39" s="63" t="str">
        <f aca="false">IF(OR(F39="",F$2=""),"",F39/F$2*100)</f>
        <v/>
      </c>
      <c r="N39" s="63" t="str">
        <f aca="false">IF(OR(G39="",G$2=""),"",G39/G$2*100)</f>
        <v/>
      </c>
    </row>
    <row r="40" customFormat="false" ht="15" hidden="false" customHeight="false" outlineLevel="0" collapsed="false">
      <c r="A40" s="59"/>
      <c r="B40" s="62"/>
      <c r="C40" s="62"/>
      <c r="D40" s="62"/>
      <c r="E40" s="62"/>
      <c r="F40" s="62"/>
      <c r="G40" s="62"/>
      <c r="I40" s="63" t="str">
        <f aca="false">IF(OR(B40="",B$2=""),"",B40/B$2*100)</f>
        <v/>
      </c>
      <c r="J40" s="63" t="str">
        <f aca="false">IF(OR(C40="",C$2=""),"",C40/C$2*100)</f>
        <v/>
      </c>
      <c r="K40" s="63" t="str">
        <f aca="false">IF(OR(D40="",D$2=""),"",D40/D$2*100)</f>
        <v/>
      </c>
      <c r="L40" s="63" t="str">
        <f aca="false">IF(OR(E40="",E$2=""),"",E40/E$2*100)</f>
        <v/>
      </c>
      <c r="M40" s="63" t="str">
        <f aca="false">IF(OR(F40="",F$2=""),"",F40/F$2*100)</f>
        <v/>
      </c>
      <c r="N40" s="63" t="str">
        <f aca="false">IF(OR(G40="",G$2=""),"",G40/G$2*100)</f>
        <v/>
      </c>
    </row>
    <row r="41" customFormat="false" ht="15" hidden="false" customHeight="false" outlineLevel="0" collapsed="false">
      <c r="A41" s="59"/>
      <c r="B41" s="62"/>
      <c r="C41" s="62"/>
      <c r="D41" s="62"/>
      <c r="E41" s="62"/>
      <c r="F41" s="62"/>
      <c r="G41" s="62"/>
      <c r="I41" s="63" t="str">
        <f aca="false">IF(OR(B41="",B$2=""),"",B41/B$2*100)</f>
        <v/>
      </c>
      <c r="J41" s="63" t="str">
        <f aca="false">IF(OR(C41="",C$2=""),"",C41/C$2*100)</f>
        <v/>
      </c>
      <c r="K41" s="63" t="str">
        <f aca="false">IF(OR(D41="",D$2=""),"",D41/D$2*100)</f>
        <v/>
      </c>
      <c r="L41" s="63" t="str">
        <f aca="false">IF(OR(E41="",E$2=""),"",E41/E$2*100)</f>
        <v/>
      </c>
      <c r="M41" s="63" t="str">
        <f aca="false">IF(OR(F41="",F$2=""),"",F41/F$2*100)</f>
        <v/>
      </c>
      <c r="N41" s="63" t="str">
        <f aca="false">IF(OR(G41="",G$2=""),"",G41/G$2*100)</f>
        <v/>
      </c>
    </row>
    <row r="42" customFormat="false" ht="15" hidden="false" customHeight="false" outlineLevel="0" collapsed="false">
      <c r="A42" s="59"/>
      <c r="B42" s="62"/>
      <c r="C42" s="62"/>
      <c r="D42" s="62"/>
      <c r="E42" s="62"/>
      <c r="F42" s="62"/>
      <c r="G42" s="62"/>
      <c r="I42" s="63" t="str">
        <f aca="false">IF(OR(B42="",B$2=""),"",B42/B$2*100)</f>
        <v/>
      </c>
      <c r="J42" s="63" t="str">
        <f aca="false">IF(OR(C42="",C$2=""),"",C42/C$2*100)</f>
        <v/>
      </c>
      <c r="K42" s="63" t="str">
        <f aca="false">IF(OR(D42="",D$2=""),"",D42/D$2*100)</f>
        <v/>
      </c>
      <c r="L42" s="63" t="str">
        <f aca="false">IF(OR(E42="",E$2=""),"",E42/E$2*100)</f>
        <v/>
      </c>
      <c r="M42" s="63" t="str">
        <f aca="false">IF(OR(F42="",F$2=""),"",F42/F$2*100)</f>
        <v/>
      </c>
      <c r="N42" s="63" t="str">
        <f aca="false">IF(OR(G42="",G$2=""),"",G42/G$2*100)</f>
        <v/>
      </c>
    </row>
    <row r="43" customFormat="false" ht="15" hidden="false" customHeight="false" outlineLevel="0" collapsed="false">
      <c r="A43" s="59"/>
      <c r="B43" s="62"/>
      <c r="C43" s="62"/>
      <c r="D43" s="62"/>
      <c r="E43" s="62"/>
      <c r="F43" s="62"/>
      <c r="G43" s="62"/>
      <c r="I43" s="63" t="str">
        <f aca="false">IF(OR(B43="",B$2=""),"",B43/B$2*100)</f>
        <v/>
      </c>
      <c r="J43" s="63" t="str">
        <f aca="false">IF(OR(C43="",C$2=""),"",C43/C$2*100)</f>
        <v/>
      </c>
      <c r="K43" s="63" t="str">
        <f aca="false">IF(OR(D43="",D$2=""),"",D43/D$2*100)</f>
        <v/>
      </c>
      <c r="L43" s="63" t="str">
        <f aca="false">IF(OR(E43="",E$2=""),"",E43/E$2*100)</f>
        <v/>
      </c>
      <c r="M43" s="63" t="str">
        <f aca="false">IF(OR(F43="",F$2=""),"",F43/F$2*100)</f>
        <v/>
      </c>
      <c r="N43" s="63" t="str">
        <f aca="false">IF(OR(G43="",G$2=""),"",G43/G$2*100)</f>
        <v/>
      </c>
    </row>
    <row r="44" customFormat="false" ht="15" hidden="false" customHeight="false" outlineLevel="0" collapsed="false">
      <c r="A44" s="59"/>
      <c r="B44" s="62"/>
      <c r="C44" s="62"/>
      <c r="D44" s="62"/>
      <c r="E44" s="62"/>
      <c r="F44" s="62"/>
      <c r="G44" s="62"/>
      <c r="I44" s="63" t="str">
        <f aca="false">IF(OR(B44="",B$2=""),"",B44/B$2*100)</f>
        <v/>
      </c>
      <c r="J44" s="63" t="str">
        <f aca="false">IF(OR(C44="",C$2=""),"",C44/C$2*100)</f>
        <v/>
      </c>
      <c r="K44" s="63" t="str">
        <f aca="false">IF(OR(D44="",D$2=""),"",D44/D$2*100)</f>
        <v/>
      </c>
      <c r="L44" s="63" t="str">
        <f aca="false">IF(OR(E44="",E$2=""),"",E44/E$2*100)</f>
        <v/>
      </c>
      <c r="M44" s="63" t="str">
        <f aca="false">IF(OR(F44="",F$2=""),"",F44/F$2*100)</f>
        <v/>
      </c>
      <c r="N44" s="63" t="str">
        <f aca="false">IF(OR(G44="",G$2=""),"",G44/G$2*100)</f>
        <v/>
      </c>
    </row>
    <row r="45" customFormat="false" ht="15" hidden="false" customHeight="false" outlineLevel="0" collapsed="false">
      <c r="A45" s="59"/>
      <c r="B45" s="62"/>
      <c r="C45" s="62"/>
      <c r="D45" s="62"/>
      <c r="E45" s="62"/>
      <c r="F45" s="62"/>
      <c r="G45" s="62"/>
      <c r="I45" s="63" t="str">
        <f aca="false">IF(OR(B45="",B$2=""),"",B45/B$2*100)</f>
        <v/>
      </c>
      <c r="J45" s="63" t="str">
        <f aca="false">IF(OR(C45="",C$2=""),"",C45/C$2*100)</f>
        <v/>
      </c>
      <c r="K45" s="63" t="str">
        <f aca="false">IF(OR(D45="",D$2=""),"",D45/D$2*100)</f>
        <v/>
      </c>
      <c r="L45" s="63" t="str">
        <f aca="false">IF(OR(E45="",E$2=""),"",E45/E$2*100)</f>
        <v/>
      </c>
      <c r="M45" s="63" t="str">
        <f aca="false">IF(OR(F45="",F$2=""),"",F45/F$2*100)</f>
        <v/>
      </c>
      <c r="N45" s="63" t="str">
        <f aca="false">IF(OR(G45="",G$2=""),"",G45/G$2*100)</f>
        <v/>
      </c>
    </row>
    <row r="46" customFormat="false" ht="15" hidden="false" customHeight="false" outlineLevel="0" collapsed="false">
      <c r="A46" s="59"/>
      <c r="B46" s="62"/>
      <c r="C46" s="62"/>
      <c r="D46" s="62"/>
      <c r="E46" s="62"/>
      <c r="F46" s="62"/>
      <c r="G46" s="62"/>
      <c r="I46" s="63" t="str">
        <f aca="false">IF(OR(B46="",B$2=""),"",B46/B$2*100)</f>
        <v/>
      </c>
      <c r="J46" s="63" t="str">
        <f aca="false">IF(OR(C46="",C$2=""),"",C46/C$2*100)</f>
        <v/>
      </c>
      <c r="K46" s="63" t="str">
        <f aca="false">IF(OR(D46="",D$2=""),"",D46/D$2*100)</f>
        <v/>
      </c>
      <c r="L46" s="63" t="str">
        <f aca="false">IF(OR(E46="",E$2=""),"",E46/E$2*100)</f>
        <v/>
      </c>
      <c r="M46" s="63" t="str">
        <f aca="false">IF(OR(F46="",F$2=""),"",F46/F$2*100)</f>
        <v/>
      </c>
      <c r="N46" s="63" t="str">
        <f aca="false">IF(OR(G46="",G$2=""),"",G46/G$2*100)</f>
        <v/>
      </c>
    </row>
    <row r="47" customFormat="false" ht="15" hidden="false" customHeight="false" outlineLevel="0" collapsed="false">
      <c r="A47" s="59"/>
      <c r="B47" s="62"/>
      <c r="C47" s="62"/>
      <c r="D47" s="62"/>
      <c r="E47" s="62"/>
      <c r="F47" s="62"/>
      <c r="G47" s="62"/>
      <c r="I47" s="63" t="str">
        <f aca="false">IF(OR(B47="",B$2=""),"",B47/B$2*100)</f>
        <v/>
      </c>
      <c r="J47" s="63" t="str">
        <f aca="false">IF(OR(C47="",C$2=""),"",C47/C$2*100)</f>
        <v/>
      </c>
      <c r="K47" s="63" t="str">
        <f aca="false">IF(OR(D47="",D$2=""),"",D47/D$2*100)</f>
        <v/>
      </c>
      <c r="L47" s="63" t="str">
        <f aca="false">IF(OR(E47="",E$2=""),"",E47/E$2*100)</f>
        <v/>
      </c>
      <c r="M47" s="63" t="str">
        <f aca="false">IF(OR(F47="",F$2=""),"",F47/F$2*100)</f>
        <v/>
      </c>
      <c r="N47" s="63" t="str">
        <f aca="false">IF(OR(G47="",G$2=""),"",G47/G$2*100)</f>
        <v/>
      </c>
    </row>
    <row r="48" customFormat="false" ht="15" hidden="false" customHeight="false" outlineLevel="0" collapsed="false">
      <c r="A48" s="59"/>
      <c r="B48" s="62"/>
      <c r="C48" s="62"/>
      <c r="D48" s="62"/>
      <c r="E48" s="62"/>
      <c r="F48" s="62"/>
      <c r="G48" s="62"/>
      <c r="I48" s="63" t="str">
        <f aca="false">IF(OR(B48="",B$2=""),"",B48/B$2*100)</f>
        <v/>
      </c>
      <c r="J48" s="63" t="str">
        <f aca="false">IF(OR(C48="",C$2=""),"",C48/C$2*100)</f>
        <v/>
      </c>
      <c r="K48" s="63" t="str">
        <f aca="false">IF(OR(D48="",D$2=""),"",D48/D$2*100)</f>
        <v/>
      </c>
      <c r="L48" s="63" t="str">
        <f aca="false">IF(OR(E48="",E$2=""),"",E48/E$2*100)</f>
        <v/>
      </c>
      <c r="M48" s="63" t="str">
        <f aca="false">IF(OR(F48="",F$2=""),"",F48/F$2*100)</f>
        <v/>
      </c>
      <c r="N48" s="63" t="str">
        <f aca="false">IF(OR(G48="",G$2=""),"",G48/G$2*100)</f>
        <v/>
      </c>
    </row>
    <row r="49" customFormat="false" ht="15" hidden="false" customHeight="false" outlineLevel="0" collapsed="false">
      <c r="A49" s="59"/>
      <c r="B49" s="62"/>
      <c r="C49" s="62"/>
      <c r="D49" s="62"/>
      <c r="E49" s="62"/>
      <c r="F49" s="62"/>
      <c r="G49" s="62"/>
      <c r="I49" s="63" t="str">
        <f aca="false">IF(OR(B49="",B$2=""),"",B49/B$2*100)</f>
        <v/>
      </c>
      <c r="J49" s="63" t="str">
        <f aca="false">IF(OR(C49="",C$2=""),"",C49/C$2*100)</f>
        <v/>
      </c>
      <c r="K49" s="63" t="str">
        <f aca="false">IF(OR(D49="",D$2=""),"",D49/D$2*100)</f>
        <v/>
      </c>
      <c r="L49" s="63" t="str">
        <f aca="false">IF(OR(E49="",E$2=""),"",E49/E$2*100)</f>
        <v/>
      </c>
      <c r="M49" s="63" t="str">
        <f aca="false">IF(OR(F49="",F$2=""),"",F49/F$2*100)</f>
        <v/>
      </c>
      <c r="N49" s="63" t="str">
        <f aca="false">IF(OR(G49="",G$2=""),"",G49/G$2*100)</f>
        <v/>
      </c>
    </row>
    <row r="50" customFormat="false" ht="15" hidden="false" customHeight="false" outlineLevel="0" collapsed="false">
      <c r="A50" s="59"/>
      <c r="B50" s="62"/>
      <c r="C50" s="62"/>
      <c r="D50" s="62"/>
      <c r="E50" s="62"/>
      <c r="F50" s="62"/>
      <c r="G50" s="62"/>
      <c r="I50" s="63" t="str">
        <f aca="false">IF(OR(B50="",B$2=""),"",B50/B$2*100)</f>
        <v/>
      </c>
      <c r="J50" s="63" t="str">
        <f aca="false">IF(OR(C50="",C$2=""),"",C50/C$2*100)</f>
        <v/>
      </c>
      <c r="K50" s="63" t="str">
        <f aca="false">IF(OR(D50="",D$2=""),"",D50/D$2*100)</f>
        <v/>
      </c>
      <c r="L50" s="63" t="str">
        <f aca="false">IF(OR(E50="",E$2=""),"",E50/E$2*100)</f>
        <v/>
      </c>
      <c r="M50" s="63" t="str">
        <f aca="false">IF(OR(F50="",F$2=""),"",F50/F$2*100)</f>
        <v/>
      </c>
      <c r="N50" s="63" t="str">
        <f aca="false">IF(OR(G50="",G$2=""),"",G50/G$2*100)</f>
        <v/>
      </c>
    </row>
    <row r="51" customFormat="false" ht="15" hidden="false" customHeight="false" outlineLevel="0" collapsed="false">
      <c r="A51" s="59"/>
      <c r="B51" s="62"/>
      <c r="C51" s="62"/>
      <c r="D51" s="62"/>
      <c r="E51" s="62"/>
      <c r="F51" s="62"/>
      <c r="G51" s="62"/>
      <c r="I51" s="63" t="str">
        <f aca="false">IF(OR(B51="",B$2=""),"",B51/B$2*100)</f>
        <v/>
      </c>
      <c r="J51" s="63" t="str">
        <f aca="false">IF(OR(C51="",C$2=""),"",C51/C$2*100)</f>
        <v/>
      </c>
      <c r="K51" s="63" t="str">
        <f aca="false">IF(OR(D51="",D$2=""),"",D51/D$2*100)</f>
        <v/>
      </c>
      <c r="L51" s="63" t="str">
        <f aca="false">IF(OR(E51="",E$2=""),"",E51/E$2*100)</f>
        <v/>
      </c>
      <c r="M51" s="63" t="str">
        <f aca="false">IF(OR(F51="",F$2=""),"",F51/F$2*100)</f>
        <v/>
      </c>
      <c r="N51" s="63" t="str">
        <f aca="false">IF(OR(G51="",G$2=""),"",G51/G$2*100)</f>
        <v/>
      </c>
    </row>
    <row r="52" customFormat="false" ht="15" hidden="false" customHeight="false" outlineLevel="0" collapsed="false">
      <c r="A52" s="59"/>
      <c r="B52" s="62"/>
      <c r="C52" s="62"/>
      <c r="D52" s="62"/>
      <c r="E52" s="62"/>
      <c r="F52" s="62"/>
      <c r="G52" s="62"/>
      <c r="I52" s="63" t="str">
        <f aca="false">IF(OR(B52="",B$2=""),"",B52/B$2*100)</f>
        <v/>
      </c>
      <c r="J52" s="63" t="str">
        <f aca="false">IF(OR(C52="",C$2=""),"",C52/C$2*100)</f>
        <v/>
      </c>
      <c r="K52" s="63" t="str">
        <f aca="false">IF(OR(D52="",D$2=""),"",D52/D$2*100)</f>
        <v/>
      </c>
      <c r="L52" s="63" t="str">
        <f aca="false">IF(OR(E52="",E$2=""),"",E52/E$2*100)</f>
        <v/>
      </c>
      <c r="M52" s="63" t="str">
        <f aca="false">IF(OR(F52="",F$2=""),"",F52/F$2*100)</f>
        <v/>
      </c>
      <c r="N52" s="63" t="str">
        <f aca="false">IF(OR(G52="",G$2=""),"",G52/G$2*100)</f>
        <v/>
      </c>
    </row>
    <row r="53" customFormat="false" ht="15" hidden="false" customHeight="false" outlineLevel="0" collapsed="false">
      <c r="A53" s="59"/>
      <c r="B53" s="62"/>
      <c r="C53" s="62"/>
      <c r="D53" s="62"/>
      <c r="E53" s="62"/>
      <c r="F53" s="62"/>
      <c r="G53" s="62"/>
      <c r="I53" s="63" t="str">
        <f aca="false">IF(OR(B53="",B$2=""),"",B53/B$2*100)</f>
        <v/>
      </c>
      <c r="J53" s="63" t="str">
        <f aca="false">IF(OR(C53="",C$2=""),"",C53/C$2*100)</f>
        <v/>
      </c>
      <c r="K53" s="63" t="str">
        <f aca="false">IF(OR(D53="",D$2=""),"",D53/D$2*100)</f>
        <v/>
      </c>
      <c r="L53" s="63" t="str">
        <f aca="false">IF(OR(E53="",E$2=""),"",E53/E$2*100)</f>
        <v/>
      </c>
      <c r="M53" s="63" t="str">
        <f aca="false">IF(OR(F53="",F$2=""),"",F53/F$2*100)</f>
        <v/>
      </c>
      <c r="N53" s="63" t="str">
        <f aca="false">IF(OR(G53="",G$2=""),"",G53/G$2*100)</f>
        <v/>
      </c>
    </row>
    <row r="54" customFormat="false" ht="15" hidden="false" customHeight="false" outlineLevel="0" collapsed="false">
      <c r="A54" s="59"/>
      <c r="B54" s="62"/>
      <c r="C54" s="62"/>
      <c r="D54" s="62"/>
      <c r="E54" s="62"/>
      <c r="F54" s="62"/>
      <c r="G54" s="62"/>
      <c r="I54" s="63" t="str">
        <f aca="false">IF(OR(B54="",B$2=""),"",B54/B$2*100)</f>
        <v/>
      </c>
      <c r="J54" s="63" t="str">
        <f aca="false">IF(OR(C54="",C$2=""),"",C54/C$2*100)</f>
        <v/>
      </c>
      <c r="K54" s="63" t="str">
        <f aca="false">IF(OR(D54="",D$2=""),"",D54/D$2*100)</f>
        <v/>
      </c>
      <c r="L54" s="63" t="str">
        <f aca="false">IF(OR(E54="",E$2=""),"",E54/E$2*100)</f>
        <v/>
      </c>
      <c r="M54" s="63" t="str">
        <f aca="false">IF(OR(F54="",F$2=""),"",F54/F$2*100)</f>
        <v/>
      </c>
      <c r="N54" s="63" t="str">
        <f aca="false">IF(OR(G54="",G$2=""),"",G54/G$2*100)</f>
        <v/>
      </c>
    </row>
    <row r="55" customFormat="false" ht="15" hidden="false" customHeight="false" outlineLevel="0" collapsed="false">
      <c r="A55" s="59"/>
      <c r="B55" s="62"/>
      <c r="C55" s="62"/>
      <c r="D55" s="62"/>
      <c r="E55" s="62"/>
      <c r="F55" s="62"/>
      <c r="G55" s="62"/>
      <c r="I55" s="63" t="str">
        <f aca="false">IF(OR(B55="",B$2=""),"",B55/B$2*100)</f>
        <v/>
      </c>
      <c r="J55" s="63" t="str">
        <f aca="false">IF(OR(C55="",C$2=""),"",C55/C$2*100)</f>
        <v/>
      </c>
      <c r="K55" s="63" t="str">
        <f aca="false">IF(OR(D55="",D$2=""),"",D55/D$2*100)</f>
        <v/>
      </c>
      <c r="L55" s="63" t="str">
        <f aca="false">IF(OR(E55="",E$2=""),"",E55/E$2*100)</f>
        <v/>
      </c>
      <c r="M55" s="63" t="str">
        <f aca="false">IF(OR(F55="",F$2=""),"",F55/F$2*100)</f>
        <v/>
      </c>
      <c r="N55" s="63" t="str">
        <f aca="false">IF(OR(G55="",G$2=""),"",G55/G$2*100)</f>
        <v/>
      </c>
    </row>
    <row r="56" customFormat="false" ht="15" hidden="false" customHeight="false" outlineLevel="0" collapsed="false">
      <c r="A56" s="59"/>
      <c r="B56" s="62"/>
      <c r="C56" s="62"/>
      <c r="D56" s="62"/>
      <c r="E56" s="62"/>
      <c r="F56" s="62"/>
      <c r="G56" s="62"/>
      <c r="I56" s="63" t="str">
        <f aca="false">IF(OR(B56="",B$2=""),"",B56/B$2*100)</f>
        <v/>
      </c>
      <c r="J56" s="63" t="str">
        <f aca="false">IF(OR(C56="",C$2=""),"",C56/C$2*100)</f>
        <v/>
      </c>
      <c r="K56" s="63" t="str">
        <f aca="false">IF(OR(D56="",D$2=""),"",D56/D$2*100)</f>
        <v/>
      </c>
      <c r="L56" s="63" t="str">
        <f aca="false">IF(OR(E56="",E$2=""),"",E56/E$2*100)</f>
        <v/>
      </c>
      <c r="M56" s="63" t="str">
        <f aca="false">IF(OR(F56="",F$2=""),"",F56/F$2*100)</f>
        <v/>
      </c>
      <c r="N56" s="63" t="str">
        <f aca="false">IF(OR(G56="",G$2=""),"",G56/G$2*100)</f>
        <v/>
      </c>
    </row>
    <row r="57" customFormat="false" ht="15" hidden="false" customHeight="false" outlineLevel="0" collapsed="false">
      <c r="A57" s="59"/>
      <c r="B57" s="62"/>
      <c r="C57" s="62"/>
      <c r="D57" s="62"/>
      <c r="E57" s="62"/>
      <c r="F57" s="62"/>
      <c r="G57" s="62"/>
      <c r="I57" s="63" t="str">
        <f aca="false">IF(OR(B57="",B$2=""),"",B57/B$2*100)</f>
        <v/>
      </c>
      <c r="J57" s="63" t="str">
        <f aca="false">IF(OR(C57="",C$2=""),"",C57/C$2*100)</f>
        <v/>
      </c>
      <c r="K57" s="63" t="str">
        <f aca="false">IF(OR(D57="",D$2=""),"",D57/D$2*100)</f>
        <v/>
      </c>
      <c r="L57" s="63" t="str">
        <f aca="false">IF(OR(E57="",E$2=""),"",E57/E$2*100)</f>
        <v/>
      </c>
      <c r="M57" s="63" t="str">
        <f aca="false">IF(OR(F57="",F$2=""),"",F57/F$2*100)</f>
        <v/>
      </c>
      <c r="N57" s="63" t="str">
        <f aca="false">IF(OR(G57="",G$2=""),"",G57/G$2*100)</f>
        <v/>
      </c>
    </row>
    <row r="58" customFormat="false" ht="15" hidden="false" customHeight="false" outlineLevel="0" collapsed="false">
      <c r="A58" s="59"/>
      <c r="B58" s="62"/>
      <c r="C58" s="62"/>
      <c r="D58" s="62"/>
      <c r="E58" s="62"/>
      <c r="F58" s="62"/>
      <c r="G58" s="62"/>
      <c r="I58" s="63" t="str">
        <f aca="false">IF(OR(B58="",B$2=""),"",B58/B$2*100)</f>
        <v/>
      </c>
      <c r="J58" s="63" t="str">
        <f aca="false">IF(OR(C58="",C$2=""),"",C58/C$2*100)</f>
        <v/>
      </c>
      <c r="K58" s="63" t="str">
        <f aca="false">IF(OR(D58="",D$2=""),"",D58/D$2*100)</f>
        <v/>
      </c>
      <c r="L58" s="63" t="str">
        <f aca="false">IF(OR(E58="",E$2=""),"",E58/E$2*100)</f>
        <v/>
      </c>
      <c r="M58" s="63" t="str">
        <f aca="false">IF(OR(F58="",F$2=""),"",F58/F$2*100)</f>
        <v/>
      </c>
      <c r="N58" s="63" t="str">
        <f aca="false">IF(OR(G58="",G$2=""),"",G58/G$2*100)</f>
        <v/>
      </c>
    </row>
    <row r="59" customFormat="false" ht="15" hidden="false" customHeight="false" outlineLevel="0" collapsed="false">
      <c r="A59" s="59"/>
      <c r="B59" s="62"/>
      <c r="C59" s="62"/>
      <c r="D59" s="62"/>
      <c r="E59" s="62"/>
      <c r="F59" s="62"/>
      <c r="G59" s="62"/>
      <c r="I59" s="63" t="str">
        <f aca="false">IF(OR(B59="",B$2=""),"",B59/B$2*100)</f>
        <v/>
      </c>
      <c r="J59" s="63" t="str">
        <f aca="false">IF(OR(C59="",C$2=""),"",C59/C$2*100)</f>
        <v/>
      </c>
      <c r="K59" s="63" t="str">
        <f aca="false">IF(OR(D59="",D$2=""),"",D59/D$2*100)</f>
        <v/>
      </c>
      <c r="L59" s="63" t="str">
        <f aca="false">IF(OR(E59="",E$2=""),"",E59/E$2*100)</f>
        <v/>
      </c>
      <c r="M59" s="63" t="str">
        <f aca="false">IF(OR(F59="",F$2=""),"",F59/F$2*100)</f>
        <v/>
      </c>
      <c r="N59" s="63" t="str">
        <f aca="false">IF(OR(G59="",G$2=""),"",G59/G$2*100)</f>
        <v/>
      </c>
    </row>
    <row r="60" customFormat="false" ht="15" hidden="false" customHeight="false" outlineLevel="0" collapsed="false">
      <c r="A60" s="59"/>
      <c r="B60" s="62"/>
      <c r="C60" s="62"/>
      <c r="D60" s="62"/>
      <c r="E60" s="62"/>
      <c r="F60" s="62"/>
      <c r="G60" s="62"/>
      <c r="I60" s="63" t="str">
        <f aca="false">IF(OR(B60="",B$2=""),"",B60/B$2*100)</f>
        <v/>
      </c>
      <c r="J60" s="63" t="str">
        <f aca="false">IF(OR(C60="",C$2=""),"",C60/C$2*100)</f>
        <v/>
      </c>
      <c r="K60" s="63" t="str">
        <f aca="false">IF(OR(D60="",D$2=""),"",D60/D$2*100)</f>
        <v/>
      </c>
      <c r="L60" s="63" t="str">
        <f aca="false">IF(OR(E60="",E$2=""),"",E60/E$2*100)</f>
        <v/>
      </c>
      <c r="M60" s="63" t="str">
        <f aca="false">IF(OR(F60="",F$2=""),"",F60/F$2*100)</f>
        <v/>
      </c>
      <c r="N60" s="63" t="str">
        <f aca="false">IF(OR(G60="",G$2=""),"",G60/G$2*100)</f>
        <v/>
      </c>
    </row>
    <row r="62" customFormat="false" ht="15" hidden="false" customHeight="false" outlineLevel="0" collapsed="false">
      <c r="A62" s="6" t="s">
        <v>131</v>
      </c>
    </row>
    <row r="63" customFormat="false" ht="15" hidden="false" customHeight="false" outlineLevel="0" collapsed="false">
      <c r="A63" s="6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2026-10-14T17:43:32Z</dcterms:created>
  <dc:creator>openpyxl</dc:creator>
  <dc:description/>
  <dc:language>en-US</dc:language>
  <cp:lastModifiedBy/>
  <dcterms:modified xsi:type="dcterms:W3CDTF">2026-10-14T21:43:35Z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